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D:\working\waccache\SG2PEPF000E4F78\EXCELCNV\6bc6ab9e-ca25-4f43-b53c-041a3f80c336\"/>
    </mc:Choice>
  </mc:AlternateContent>
  <xr:revisionPtr revIDLastSave="630" documentId="8_{4CBBC591-9D13-49F5-A8A6-B649DF57862F}" xr6:coauthVersionLast="47" xr6:coauthVersionMax="47" xr10:uidLastSave="{0DC424B9-FED0-4030-B6E3-1C0A13FE19F2}"/>
  <bookViews>
    <workbookView xWindow="-60" yWindow="-60" windowWidth="15480" windowHeight="11640" firstSheet="2" activeTab="2" xr2:uid="{00000000-000D-0000-FFFF-FFFF00000000}"/>
  </bookViews>
  <sheets>
    <sheet name="Face Compare &amp; Manual KYC" sheetId="1" state="hidden" r:id="rId1"/>
    <sheet name="Scope Backlog 1.1" sheetId="3" r:id="rId2"/>
    <sheet name="Online channel THL-1089"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8" roundtripDataChecksum="Ho2g5DjLB8RD0J52l/OyeQ/gez4x2nrXMcZRkqIFwXI="/>
    </ext>
  </extLst>
</workbook>
</file>

<file path=xl/calcChain.xml><?xml version="1.0" encoding="utf-8"?>
<calcChain xmlns="http://schemas.openxmlformats.org/spreadsheetml/2006/main">
  <c r="AP28" i="2" l="1"/>
  <c r="AO28" i="2"/>
  <c r="AO24" i="2"/>
  <c r="AP24" i="2"/>
  <c r="AP23" i="2"/>
  <c r="AO23" i="2"/>
  <c r="AO22" i="2"/>
  <c r="AO20" i="2"/>
  <c r="AP20" i="2"/>
  <c r="AO21" i="2"/>
  <c r="AP21" i="2"/>
  <c r="AP22" i="2"/>
  <c r="AO25" i="2"/>
  <c r="AP25" i="2"/>
  <c r="AL26" i="1"/>
  <c r="AK26" i="1"/>
  <c r="AL25" i="1"/>
  <c r="AK25" i="1"/>
  <c r="AL24" i="1"/>
  <c r="AK24" i="1"/>
  <c r="AL23" i="1"/>
  <c r="AK23" i="1"/>
  <c r="AL22" i="1"/>
  <c r="AK22" i="1"/>
  <c r="AK29" i="1" l="1"/>
  <c r="AL29" i="1"/>
</calcChain>
</file>

<file path=xl/sharedStrings.xml><?xml version="1.0" encoding="utf-8"?>
<sst xmlns="http://schemas.openxmlformats.org/spreadsheetml/2006/main" count="679" uniqueCount="151">
  <si>
    <t>Epic Link</t>
  </si>
  <si>
    <t>Funtion</t>
  </si>
  <si>
    <t>Test Case No.</t>
  </si>
  <si>
    <t>Test Scenario</t>
  </si>
  <si>
    <t>Test Case Type</t>
  </si>
  <si>
    <t>Flow</t>
  </si>
  <si>
    <t>Select Service Type</t>
  </si>
  <si>
    <t>Card type</t>
  </si>
  <si>
    <t>Face Compare</t>
  </si>
  <si>
    <t>Allow
Manual KYC</t>
  </si>
  <si>
    <t>During 2nd line Manual KYC Service Availability</t>
  </si>
  <si>
    <t>Manual KYC 2nd line</t>
  </si>
  <si>
    <t>Manual KYC 2nd line Status</t>
  </si>
  <si>
    <t>Verify Result</t>
  </si>
  <si>
    <t>Description
 (Design Step)</t>
  </si>
  <si>
    <t>Expected Result</t>
  </si>
  <si>
    <t>Test Case written by</t>
  </si>
  <si>
    <t>Excute by</t>
  </si>
  <si>
    <t>Status iOS</t>
  </si>
  <si>
    <t xml:space="preserve">Status android </t>
  </si>
  <si>
    <t>Actual Result
 (Design Step)</t>
  </si>
  <si>
    <t>Link Relate Story</t>
  </si>
  <si>
    <t>TOL</t>
  </si>
  <si>
    <t>TMH</t>
  </si>
  <si>
    <t>TrueID</t>
  </si>
  <si>
    <t>FLP</t>
  </si>
  <si>
    <t>บัตรประชาชน</t>
  </si>
  <si>
    <t>หนังสือเดินทาง</t>
  </si>
  <si>
    <t>บัตรอื่นๆ</t>
  </si>
  <si>
    <t>Pass</t>
  </si>
  <si>
    <t>Not Pass</t>
  </si>
  <si>
    <t>ยืนยัน</t>
  </si>
  <si>
    <t>ยกเลิก</t>
  </si>
  <si>
    <t>YES 
 (ในเวลาทำการ)</t>
  </si>
  <si>
    <t>NO
 (นอกเวลาทำการ)</t>
  </si>
  <si>
    <t>ต้องการ</t>
  </si>
  <si>
    <t>ไม่ต้องการ</t>
  </si>
  <si>
    <t>API Error</t>
  </si>
  <si>
    <t>Done</t>
  </si>
  <si>
    <t>Being Verify</t>
  </si>
  <si>
    <t>Extended Time Before 
(1 Round)</t>
  </si>
  <si>
    <t>Waiting for Verify
 /Timeout</t>
  </si>
  <si>
    <t>บัตรต่างด้าว</t>
  </si>
  <si>
    <t>ใบอนุญาตทำงานแบบเล่ม</t>
  </si>
  <si>
    <t>บัตรอนุญาตทำงาน</t>
  </si>
  <si>
    <t>ใบขับขี่</t>
  </si>
  <si>
    <t>Yes</t>
  </si>
  <si>
    <t>No</t>
  </si>
  <si>
    <t>Online channel THL-1089</t>
  </si>
  <si>
    <t>Face Compare &amp; Manual KYC</t>
  </si>
  <si>
    <t>ON_FACE_KYC_01</t>
  </si>
  <si>
    <t>Verify Face Compare in case
 - Press อินเทอร์เน็ต
 - Press เบอร์มือถือ
 - Card type : บัตรประชาชน
 - Face Compare : Pass</t>
  </si>
  <si>
    <t>Positive</t>
  </si>
  <si>
    <t>Online Channel</t>
  </si>
  <si>
    <t>X</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</si>
  <si>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6. Press รูปแบบการขาย "ออนไลน์"
7. Navigate to Customer ID Validation screen
     - Select card and Input Customer ID Same Location
8. Pass TOL Validation (NEW TOL)
9. Pass EXISTING TMH NUMBER
(2P/4POTT)
10. Pass CUSTOMER ID VALIDATION FOR NEW TMH ONLY -  (2P/4POTT)
11. Navigate to Customer Self-Verification QR / Ref Code : STAFF SCREEN
12. STAFF save image QR code sent to Customer
12. CUSTOMER Scan QR code and Customer Verification Pass
13. Verify Liveness Pass
14. More Photo page
15. Verify Face Compare</t>
  </si>
  <si>
    <t>1.Go to Next page (More Photo)</t>
  </si>
  <si>
    <t>Wannapa Thongkham</t>
  </si>
  <si>
    <t>Not Start</t>
  </si>
  <si>
    <t>ON_FACE_KYC_02</t>
  </si>
  <si>
    <t>Verify Face Compare in case
 - Press อินเทอร์เน็ต
 - Press เบอร์มือถือ
 - Press ทรูไอดีทีวี
 - Press เบอร์บ้าน
 - Card type : หนังสือเดินทาง
 - Face Compare : Pass</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</si>
  <si>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เบอร์บ้าน
6. Press รูปแบบการขาย "ออนไลน์"
7. Navigate to Customer ID Validation screen
     - Select card and Input Customer ID Same Location
8. Pass TOL Validation (NEW TOL)
9. Pass EXISTING TMH NUMBER
(2P/4POTT)
10. Pass CUSTOMER ID VALIDATION FOR NEW TMH ONLY -  (2P/4POTT)
11. Navigate to Customer Self-Verification QR / Ref Code : STAFF SCREEN
12. STAFF save image QR code sent to Customer
12. CUSTOMER Scan QR code and Customer Verification Pass
13. Verify Liveness Pass
14. More Photo page
15. Verify Face Compare</t>
  </si>
  <si>
    <t>ON_FACE_KYC_03</t>
  </si>
  <si>
    <t>Verify Face Compare in case
 - Press อินเทอร์เน็ต
 - Press เบอร์มือถือ
 - Card type : บัตรประชาชน
 - Allow Manual KYC
 - กด "ยืนยัน"</t>
  </si>
  <si>
    <t>1.Display popup message "กรุณากด “ยืนยัน” ว่าท่าน ได้ทำการตรวจสอบความถูกต้อง
ของข้อมูลลงทะเบียนเรียบร้อยแล้ว"
  - "ยืนยัน" button
  - "ยกเลิก" button
2.กด "ยืนยัน" ไปหน้า More Photo</t>
  </si>
  <si>
    <t>ON_FACE_KYC_04</t>
  </si>
  <si>
    <t>Verify Face Compare in case
 - Press อินเทอร์เน็ต
 - Press เบอร์มือถือ
 - Card type : บัตรประชาชน
 - Allow Manual KYC
 - กด "ยกเลิก"</t>
  </si>
  <si>
    <t>1.Display popup message "กรุณากด “ยืนยัน” ว่าท่าน ได้ทำการตรวจสอบความถูกต้อง
ของข้อมูลลงทะเบียนเรียบร้อยแล้ว"
  - "ยืนยัน" button
  - "ยกเลิก" button
2.กด “ยกเลิก” &gt; ไปหน้า “Gen QR Code”</t>
  </si>
  <si>
    <t>ON_FACE_KYC_05</t>
  </si>
  <si>
    <t>Verify Face Compare in case
 - Press อินเทอร์เน็ต
 - Press เบอร์มือถือ
 - Press ทรูไอดีทีวี
 - Press เบอร์บ้าน
 - Card type : หนังสือเดินทาง
 - Allow Manual KYC
 - กด "ยืนยัน"</t>
  </si>
  <si>
    <t>ON_FACE_KYC_06</t>
  </si>
  <si>
    <t>Verify Face Compare in case
 - Press อินเทอร์เน็ต
 - Press เบอร์มือถือ
 - Press ทรูไอดีทีวี
 - Press เบอร์บ้าน
 - Card type : หนังสือเดินทาง
 - Allow Manual KYC
 - กด "ยกเลิก"</t>
  </si>
  <si>
    <t>ON_FACE_KYC_07</t>
  </si>
  <si>
    <t>Verify manual KYC not pass send to 2nd line support in this case:
 - ID Type: Thai ID
 - Liveness: Yes
 - Allow manual KYC: No
 - During 2nd line Manual KYC: Yes
 - Manual KYC 2nd line: ต้องการ
 - Verify Status: Open --&gt; Verified (Done)
 - Verify Result: Pass (Approve)</t>
  </si>
  <si>
    <t>x</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</si>
  <si>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6. Press รูปแบบการขาย "ออนไลน์"
7. Navigate to Customer ID Validation screen
     - Select card and Input Customer ID Same Location
8. Pass TOL Validation (NEW TOL)
9. Pass EXISTING TMH NUMBER
(2P/4POTT)
10. Pass CUSTOMER ID VALIDATION FOR NEW TMH ONLY -  (2P/4POTT)
11. Navigate to Customer Self-Verification QR / Ref Code : STAFF SCREEN
12. STAFF save image QR code sent to Customer
12. CUSTOMER Scan QR code and Customer Verification Pass
13. Face Compare Not Pass
  - Popup "ตรวจสอบใบหน้าไม่ผ่าน"
14. Not Allow Manual KYC
15. Verify Manual KYC 2nd line support</t>
  </si>
  <si>
    <t>1.Display popup confirm "ขออภัยค่ะ ทำการยืนยันตัวตนไม่สำเร็จต้องการส่งข้อมูลยืนยันตัวตนให้ทางทีมหลังบ้านตรวจสอบหรือไม่"
  - Press "ต้องการ" button
2.Display "กำลังตรวจสอบข้อมูลยืนยันตัวตน การตรวจสอบอาจใช้เวลา 3-5 นาที กรุณาอย่าออกจากหน้านี้ หรือปิดแอปพลิเคชันขณะทำรายการ"
3.Display "ทีมหลังบ้านตรวจสอบเรียบร้อย ข้อมูลยืนยันตัวตนถูกต้อง"
4.Display popup confirm "ต้องการถ่ายรูปเพิ่มเติม ?"
  - ถ่ายเพิ่ม
  - ไปต่อ</t>
  </si>
  <si>
    <t>Manual KYC 2nd line ตัดออกจาก R1</t>
  </si>
  <si>
    <t>ON_FACE_KYC_08</t>
  </si>
  <si>
    <t>Verify manual KYC not pass send to 2nd line support in this case:
 - ID Type: Passport
 - Liveness: Yes
 - Allow manual KYC: No
 - During 2nd line Manual KYC: Yes
 - Manual KYC 2nd line: ต้องการ
 - Verify Status: Open --&gt; Verified (Done)
 - Verify Result: Not Pass (Reject)</t>
  </si>
  <si>
    <t>Negative</t>
  </si>
  <si>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เบอร์บ้าน
6. Press รูปแบบการขาย "ออนไลน์"
7. Navigate to Customer ID Validation screen
     - Select card and Input Customer ID Same Location
8. Pass TOL Validation (NEW TOL)
9. Pass EXISTING TMH NUMBER
(2P/4POTT)
10. Pass CUSTOMER ID VALIDATION FOR NEW TMH ONLY -  (2P/4POTT)
11. Navigate to Customer Self-Verification QR / Ref Code : STAFF SCREEN
12. STAFF save image QR code sent to Customer
12. CUSTOMER Scan QR code and Customer Verification Pass
13. Face Compare Not Pass
  - Popup "ตรวจสอบใบหน้าไม่ผ่าน"
14. Not Allow Manual KYC
15. Verify Manual KYC 2nd line support</t>
  </si>
  <si>
    <t>1.Display popup confirm "ขออภัยค่ะ ทำการยืนยันตัวตนไม่สำเร็จต้องการส่งข้อมูลยืนยันตัวตนให้ทางทีมหลังบ้านตรวจสอบหรือไม่"
  - Press "ต้องการ" button
2.Display error "ขออภัยค่ะ ข้อมูลยืนยันตัวตนไม่ถูกต้อง ไม่สามารถทำรายการต่อได้ค่ะ"
  - Press "ตกลง" button
3.Go back to "Select card type" page</t>
  </si>
  <si>
    <t>ON_FACE_KYC_09</t>
  </si>
  <si>
    <t>Verify manual KYC not pass send to 2nd line support in this case:
 - ID Type: Thai ID
 - Liveness: Yes
 - Allow manual KYC: No
 - During 2nd line Manual KYC: Yes
 - Manual KYC 2nd line: ต้องการ
 - Verify Status: Open --&gt; Pending (Being Verify) --&gt; Open</t>
  </si>
  <si>
    <t>1.Display popup confirm "ขออภัยค่ะ ทำการยืนยันตัวตนไม่สำเร็จต้องการส่งข้อมูลยืนยันตัวตนให้ทางทีมหลังบ้านตรวจสอบหรือไม่"
  - Press "ต้องการ" button
2.Extended Time for 1 Round
3.Verify Status again 
4.Display "กำลังตรวจสอบข้อมูลยืนยันตัวตน การตรวจสอบอาจใช้เวลา 3 นาทีกรุณาอย่าออกจากหน้านี้ หรือปิดแอปพลิเคชันขณะทำรายการ"</t>
  </si>
  <si>
    <t>ON_FACE_KYC_10</t>
  </si>
  <si>
    <t>Verify manual KYC not pass send to 2nd line support in this case:
 - ID Type: Passport
 - Liveness: Yes
 - Allow manual KYC: No
 - During 2nd line Manual KYC: Yes
 - Manual KYC 2nd line: ต้องการ
 - Verify Status: Open --&gt; Pending (Being Verify) --&gt; Open --&gt; Pending --&gt; Cancelled
 - Extended Time Before (1 Round): Yes</t>
  </si>
  <si>
    <t>1.Display popup confirm "ขออภัยค่ะ ทำการยืนยันตัวตนไม่สำเร็จต้องการส่งข้อมูลยืนยันตัวตนให้ทางทีมหลังบ้านตรวจสอบหรือไม่"
  - Press "ต้องการ" button
2.Extended Time for 1 Round
3.Display "กำลังตรวจสอบข้อมูลยืนยันตัวตน การตรวจสอบอาจใช้เวลา 3 นาทีกรุณาอย่าออกจากหน้านี้ หรือปิดแอปพลิเคชันขณะทำรายการ"
4.Verify Status: Being Verify and Extended Time Before
5.Display error "ขออภัยค่ะ เนื่องจากขณะนี้มีผู้ส่งตรวจสอบข้อมูลจำนวนมาก กรุณาลองยืนยันตัวตนใหม่อีกครั้งหรือแจ้งลูกค้าติดต่อศูนย์บริการเพื่อลงทะเบียนเลขหมายนี้แทนค่ะ"
  - Press "ตกลง" button
6.Go back to "Face compare result" page</t>
  </si>
  <si>
    <t>ON_FACE_KYC_11</t>
  </si>
  <si>
    <t>Verify manual KYC not pass send to 2nd line support in this case:
 - ID Type: Thai ID
 - Face compare: Yes
 - Allow manual KYC: No
 - During 2nd line Manual KYC: Yes
 - Manual KYC 2nd line: ต้องการ
 - Verify Status: Open --&gt; Cancelled (Waiting for Verify/Timeout)</t>
  </si>
  <si>
    <t>1.Display popup confirm "ขออภัยค่ะ ทำการยืนยันตัวตนไม่สำเร็จต้องการส่งข้อมูลยืนยันตัวตนให้ทางทีมหลังบ้านตรวจสอบหรือไม่"
  - Press "ต้องการ" button
2.Verify Status: Waiting for Verify/Timeout
3.Display error "ขออภัยค่ะ เนื่องจากขณะนี้มีผู้ส่งตรวจสอบข้อมูลจำนวนมาก กรุณาลองยืนยันตัวตนใหม่อีกครั้งหรือแจ้งลูกค้าติดต่อศูนย์บริการเพื่อลงทะเบียนเลขหมายนี้แทนค่ะ"
  - Press "ตกลง" button
4.Go back to "Face compare result" page</t>
  </si>
  <si>
    <t>ON_FACE_KYC_12</t>
  </si>
  <si>
    <t>Verify manual KYC not pass send to 2nd line support in this case:
 - ID Type: Passport
 - Liveness: Yes
 - Allow manual KYC: No
 - During 2nd line Manual KYC: Yes
 - Manual KYC 2nd line: ต้องการ and API Error</t>
  </si>
  <si>
    <t>1.Display popup confirm "ขออภัยค่ะ ทำการยืนยันตัวตนไม่สำเร็จต้องการส่งข้อมูลยืนยันตัวตนให้ทางทีมหลังบ้านตรวจสอบหรือไม่"
  - Press "ต้องการ" button
2.When API Error, Display popup error "ขออภัยค่ะ ไม่สามารถทำรายการได้ กรุณาลองใหม่อีกครั้งค่ะ"
  - Press "ตกลง" button
3.Retry send request again 
4.Display "กำลังตรวจสอบข้อมูลยืนยันตัวตน การตรวจสอบอาจใช้เวลา 3 นาทีกรุณาอย่าออกจากหน้านี้ หรือปิดแอปพลิเคชันขณะทำรายการ"</t>
  </si>
  <si>
    <t>ON_FACE_KYC_13</t>
  </si>
  <si>
    <t>Verify manual KYC not pass send to 2nd line support in this case:
 - Input ID Mode: Select card type (OCR)
 - ID Type: Passport
 - Liveness: Yes
 - Allow manual KYC: No
 - During 2nd line Manual KYC: Yes
 - Manual KYC 2nd line: ไม่ต้องการ</t>
  </si>
  <si>
    <t>1.Display popup confirm "ขออภัยค่ะ ทำการยืนยันตัวตนไม่สำเร็จต้องการส่งข้อมูลยืนยันตัวตนให้ทางทีมหลังบ้านตรวจสอบหรือไม่"
  - Press "ไม่ต้องการ" button 
2.Display popup "ขออภัยค่ะ ทำการยืนยันตัวตนไม่สำเร็จ กรุณายืนยันตัวตนใหม่อีกครั้ง หรือแจ้งลูกค้าติดต่อศูนย์บริการ เพื่อลงทะเบียนเลขหมายนี้แทนค่ะ"
  - Press "ตกลง" button 
3.Go back to "Select card type" page</t>
  </si>
  <si>
    <t>ON_FACE_KYC_14</t>
  </si>
  <si>
    <t>Verify manual KYC not pass send to 2nd line support in this case:
 - Input ID Mode: Select card type (OCR)
 - ID Type: Thai ID
 - Liveness: Yes
 - Allow manual KYC: No
 - During 2nd line Manual KYC: No</t>
  </si>
  <si>
    <t>1.Display popup "ขออภัยค่ะ ทำการยืนยันตัวตนไม่สำเร็จ กรุณายืนยันตัวตนใหม่อีกครั้ง หรือแจ้งลูกค้าติดต่อศูนย์บริการ เพื่อลงทะเบียนเลขหมายนี้แทนค่ะ"
2.Press "ตกลง" button and go back to "Select card type" page</t>
  </si>
  <si>
    <t>Summary</t>
  </si>
  <si>
    <t>iOS</t>
  </si>
  <si>
    <t>Android</t>
  </si>
  <si>
    <t>Inprogress</t>
  </si>
  <si>
    <t>Skip</t>
  </si>
  <si>
    <t>Fail</t>
  </si>
  <si>
    <t>Progress</t>
  </si>
  <si>
    <t>Refer Backlog No.</t>
  </si>
  <si>
    <t>Test Result iOS</t>
  </si>
  <si>
    <t>Test Result Android</t>
  </si>
  <si>
    <t>Link</t>
  </si>
  <si>
    <t>Details</t>
  </si>
  <si>
    <t>3.Register TOL/CVG via online channel</t>
  </si>
  <si>
    <t>Version Built : TOL 73.3 (865)</t>
  </si>
  <si>
    <t>Version Built : 73.1.051116 (TOL-CICD) (308)</t>
  </si>
  <si>
    <t>Janjira Jankong</t>
  </si>
  <si>
    <t>Passed</t>
  </si>
  <si>
    <t>Version Built : TOL 73.3 (867)</t>
  </si>
  <si>
    <t>Version Built : 73.3.052203 (TOL-CICD)(312)</t>
  </si>
  <si>
    <t>Online channel THL-1089
ManualKYC and ManualKYC 2nd Line THL-1091</t>
  </si>
  <si>
    <t>3.Register TOL/CVG via online channel
5.กรณี Manual KYC และ Manual KYC ที่หน้า Unify</t>
  </si>
  <si>
    <t>Version Built : 73.3.052203 (TOL-CICD)(312)
Version Built : Android 73.8.060401 (TOL1.1)(319)
ReTest ยกเลิก</t>
  </si>
  <si>
    <t>Verify Face Compare in case
 - Press อินเทอร์เน็ต
 - Press เบอร์มือถือ
 - Card type : บัตรประชาชน
 - Allow Manual KYC
 - กด "ยกเลิก"
 - กด "ยืนยัน"</t>
  </si>
  <si>
    <t>1.Display popup message "กรุณากด “ยืนยัน” ว่าท่าน ได้ทำการตรวจสอบความถูกต้อง
ของข้อมูลลงทะเบียนเรียบร้อยแล้ว"
  - "ยืนยัน" button
  - "ยกเลิก" button
2.กด “ยกเลิก” &gt; ไปหน้า “Gen QR Code”
3.กด "ยืนยัน" ไปหน้า More Photo</t>
  </si>
  <si>
    <t>https://trueomx.atlassian.net/browse/THL-1382</t>
  </si>
  <si>
    <t>Version Built : TOL 73.3 (868)</t>
  </si>
  <si>
    <t>Version Built : 73.3.052203 (TOL-CICD)(312)
Version Built : Android 73.8.060401 (TOL1.1)(319)
ReTest ยกเลิก</t>
  </si>
  <si>
    <t>Verify Face Compare in case
 - Press อินเทอร์เน็ต
 - Press เบอร์มือถือ
 - Press ทรูไอดีทีวี
 - Press เบอร์บ้าน
 - Card type : หนังสือเดินทาง
 - Allow Manual KYC
 - กด "ยกเลิก"
 - กด "ยืนยัน"</t>
  </si>
  <si>
    <t>Version Built : iOS TOL 73.6 (869)</t>
  </si>
  <si>
    <t>Version Built : Android 73.8.060401 (TOL1.1)(319)</t>
  </si>
  <si>
    <t>Android Refer -&gt; App เด้งกลับมาหน้าหลัก
https://trueomx.atlassian.net/browse/THL-1396</t>
  </si>
  <si>
    <t>Version Built : iOS TOL 73.8 (875)</t>
  </si>
  <si>
    <t>Verify manual KYC not pass send to 2nd line support in this case:
 - ID Type: Passport
 - Liveness: Yes
 - Allow manual KYC: No
 - During 2nd line Manual KYC: Yes
 - Manual KYC 2nd line: ต้องการ
 - Verify Status: Open --&gt; Verified (Done)
 - Verify Result: Not Pass (Reject)
 - Press "ตกลง" button</t>
  </si>
  <si>
    <t>1.Display popup confirm "ขออภัยค่ะ ทำการยืนยันตัวตนไม่สำเร็จต้องการส่งข้อมูลยืนยันตัวตนให้ทางทีมหลังบ้านตรวจสอบหรือไม่"
  - Press "ต้องการ" button
2.Display popup กำลังตรวจสอบข้อมูลยืนยันตัวตน การตรวจสอบอาจใช้เวลา 3-6 นาที กรุณาอย่าออกจากหน้านี้ หรือปิดแอปพลิเคชันขณะทำรายการ
3.Display error "ขออภัยค่ะ ข้อมูลยืนยันตัวตนไม่ถูกต้อง ไม่สามารถทำรายการต่อได้ค่ะ"
  - Press "ตกลง" button
4.Go back ไปหน้า “Gen QR Code” page</t>
  </si>
  <si>
    <t>Android
https://trueomx.atlassian.net/browse/THL-1448
ios
https://trueomx.atlassian.net/browse/THL-1395
Android Refer -&gt; App เด้งกลับมาหน้าหลัก
https://trueomx.atlassian.net/browse/THL-1396</t>
  </si>
  <si>
    <r>
      <rPr>
        <sz val="10"/>
        <color rgb="FF000000"/>
        <rFont val="Tahoma"/>
      </rPr>
      <t xml:space="preserve">Verify manual KYC not pass send to 2nd line support in this case:
 - ID Type: Thai ID
 - Liveness: Yes
 - Allow manual KYC: No
 - During 2nd line Manual KYC: Yes
 - Manual KYC 2nd line: ต้องการ
 - Verify Status: Open --&gt; Pending (Being Verify) --&gt; Open
 - Extended Time Before (1 Round): No
</t>
    </r>
    <r>
      <rPr>
        <sz val="10"/>
        <color rgb="FF0070C0"/>
        <rFont val="Tahoma"/>
      </rPr>
      <t>Step Test หน้า Unify 
- กด ตรวจสอบ -&gt; กดย้อนกลับ ในช่วงเวลา 1นาทีกว่าๆ ก้ได้ -&gt; กด ตรวจสอบครั้งที่2 -&gt; หน้า FE จะกลับมานับเวลาใหม่อีกครั้งตาม Figma</t>
    </r>
  </si>
  <si>
    <t>1. Login One App
2. Press "ลงทะเบียนทรูออนไลน์" menu in the "บริการอื่นๆ" Category
3. Open GIS Web View and open oder on GIS Web View success
5. Navigate to Select type screen
     บริการหลัก
        - The system Auto default service type อินเทอร์เน็ต
     เลือกบริการเพิ่มเติม
        - User select : เบอร์มือถือ
        - User select : ทรูไอดีทีวี
        - User select : เบอร์บ้าน
6. Press รูปแบบการขาย "ออนไลน์"
7. Navigate to Customer ID Validation screen
     - Select card and Input Customer ID Same Location
8. Pass TOL Validation (NEW TOL)
9. Pass EXISTING TMH NUMBER
(2P/4POTT)
10. Pass CUSTOMER ID VALIDATION FOR NEW TMH ONLY -  (2P/4POTT)
11. Navigate to Customer Self-Verification QR / Ref Code : STAFF SCREEN
12. STAFF save image QR code sent to Customer
12. CUSTOMER Scan QR code and Customer Verification Pass
13. Face Compare Not Pass
  - Popup "ตรวจสอบใบหน้าไม่ผ่าน"
14. Not Allow Manual KYC
15. Verify Manual KYC 2nd line support
 - หน้า Unify กด ตรวจสอบ -&gt; กดย้อนกลับ ในช่วงเวลา 0.003 -&gt; หน้า FE จะกลับมานับเวลาใหม่อีกครั้งตาม Figma</t>
  </si>
  <si>
    <t>1.Display popup confirm "ขออภัยค่ะ ทำการยืนยันตัวตนไม่สำเร็จต้องการส่งข้อมูลยืนยันตัวตนให้ทางทีมหลังบ้านตรวจสอบหรือไม่"
  - Press "ต้องการ" button
2.คือยังไม่ขยายเวลา Extended Time for 1 Round
3.Verify Status again 
4.Display "กำลังตรวจสอบข้อมูลยืนยันตัวตน การตรวจสอบอาจใช้เวลา 3 นาทีกรุณาอย่าออกจากหน้านี้ หรือปิดแอปพลิเคชันขณะทำรายการ"</t>
  </si>
  <si>
    <r>
      <rPr>
        <sz val="10"/>
        <color rgb="FF000000"/>
        <rFont val="Tahoma"/>
      </rPr>
      <t xml:space="preserve">Verify manual KYC not pass send to 2nd line support in this case:
 - ID Type: Passport
 - Liveness: Yes
 - Allow manual KYC: No
 - During 2nd line Manual KYC: Yes
 - Manual KYC 2nd line: ต้องการ
 - Verify Status: Open --&gt; Pending (Being Verify) --&gt; Open --&gt; Pending(Waiting for Verify) --&gt; Cancelled
 - Extended Time Before (1 Round): Yes
</t>
    </r>
    <r>
      <rPr>
        <sz val="10"/>
        <color rgb="FF0070C0"/>
        <rFont val="Tahoma"/>
      </rPr>
      <t>Step Test หน้า Unify 
- กด ตรวจสอบ -&gt; กดย้อนกลับ ในช่วงเวลา 1นาทีกว่าๆ ก้ได้ -&gt; กด ตรวจสอบครั้งที่2 -&gt; หน้า FE จะกลับมานับเวลาใหม่อีกครั้ง -&gt; ปล่อยให้ TimeOut</t>
    </r>
  </si>
  <si>
    <r>
      <rPr>
        <sz val="10"/>
        <color rgb="FF000000"/>
        <rFont val="Tahoma"/>
      </rPr>
      <t xml:space="preserve">Verify manual KYC not pass send to 2nd line support in this case:
 - ID Type: Thai ID
 - Face compare: Yes
 - Allow manual KYC: No
 - During 2nd line Manual KYC: Yes
 - Manual KYC 2nd line: ต้องการ
 - Verify Status: Open --&gt; Cancelled (Waiting for Verify/Timeout)
</t>
    </r>
    <r>
      <rPr>
        <sz val="10"/>
        <color rgb="FF0070C0"/>
        <rFont val="Tahoma"/>
      </rPr>
      <t>**รอให้หมดเวลา</t>
    </r>
  </si>
  <si>
    <t>App เด้งกลับมาหน้าหลัก
https://trueomx.atlassian.net/browse/THL-1396</t>
  </si>
  <si>
    <t>Version Built : iOS TOL 73.6 (870)</t>
  </si>
  <si>
    <t>Version Built: 73.8.060417 (TOL-1.1) (318)</t>
  </si>
  <si>
    <t>&gt;&gt;ปิดเน็ต แล้วกด 'ต้องการ' &gt;&gt; ไม่ได้ error ตามที่ต้องการ
&gt;&gt;Test by proxyman</t>
  </si>
  <si>
    <t>Version Built : 73.8.052809 (TOL-CICD)(312)</t>
  </si>
  <si>
    <t xml:space="preserve">Verify manual KYC not pass send to 2nd line support in this case:
 - Input ID Mode: Select card type (OCR)
 - ID Type: Passport
 - Liveness: Yes
 - Allow manual KYC: No
 - During 2nd line Manual KYC: Yes
 - Manual KYC 2nd line: ไม่ต้องการ
 - Press "ตกลง" button </t>
  </si>
  <si>
    <t>1.Display popup confirm "ขออภัยค่ะ ทำการยืนยันตัวตนไม่สำเร็จต้องการส่งข้อมูลยืนยันตัวตนให้ทางทีมหลังบ้านตรวจสอบหรือไม่"
  - Press "ไม่ต้องการ" button 
2.Display popup "ขออภัยค่ะ ทำการยืนยันตัวตนไม่สำเร็จ กรุณายืนยันตัวตนใหม่อีกครั้ง หรือแจ้งลูกค้าติดต่อศูนย์บริการ เพื่อลงทะเบียนเลขหมายนี้แทนค่ะ"
  - Press "ตกลง" button 
3.Go back to "Gen QR code" page</t>
  </si>
  <si>
    <t>Confirm จาก PO ให้ เอาผลตาม Actual Result 2/6/26
https://trueomx.atlassian.net/browse/THL-1393
ios
https://trueomx.atlassian.net/browse/THL-1394</t>
  </si>
  <si>
    <t>&gt;&gt; ลองเล่นตอน 1 ทุ่มพบว่าไม่เจอ Pop-up แสดงกรณี ทำรายการ นอกเวลาทำการ
&gt;&gt; ลองเล่นตอน 3 ทุ่มพบว่าไม่เจอ Pop-up แสดงกรณี ทำรายการ นอกเวลาทำการ
&gt;&gt; ลองเล่นตอน 4 ทุ่มพบว่าไม่เจอ Pop-up แสดงกรณี ทำรายการ นอกเวลาทำการ
&gt;&gt; ลองเล่นตอน 23.19 พบว่าไม่เจอ Pop-up แสดงกรณี ทำรายการ นอกเวลาทำการ
ตรวจสอบ table .... พบว่าไม่มีการ SET นอกเวลาทำการ
154	oneCommonManualKYC2ndLineAgentTime	08.00-23.59	ACTIVE	CRXXX	2025-07-08 07:18:03.705	CRXXX	2025-07-08 07:18:03.705	1</t>
  </si>
  <si>
    <t>Block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</si>
</sst>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scheme val="minor"/>
    </font>
    <font>
      <b/>
      <sz val="10"/>
      <color theme="1"/>
      <name val="Tahoma"/>
    </font>
    <font>
      <sz val="11"/>
      <name val="Calibri"/>
    </font>
    <font>
      <sz val="10"/>
      <color theme="1"/>
      <name val="Tahoma"/>
    </font>
    <font>
      <sz val="9"/>
      <color theme="1"/>
      <name val="Tahoma"/>
    </font>
    <font>
      <sz val="10"/>
      <color rgb="FF000000"/>
      <name val="Tahoma"/>
    </font>
    <font>
      <sz val="10"/>
      <color rgb="FFFF0000"/>
      <name val="Tahoma"/>
    </font>
    <font>
      <sz val="11"/>
      <color theme="1"/>
      <name val="Calibri"/>
    </font>
    <font>
      <b/>
      <sz val="10"/>
      <color rgb="FF000000"/>
      <name val="Tahoma"/>
    </font>
    <font>
      <b/>
      <sz val="10"/>
      <name val="Tahoma"/>
    </font>
    <font>
      <u/>
      <sz val="11"/>
      <color theme="10"/>
      <name val="Calibri"/>
      <scheme val="minor"/>
    </font>
    <font>
      <sz val="10"/>
      <color rgb="FF0070C0"/>
      <name val="Tahoma"/>
    </font>
  </fonts>
  <fills count="16">
    <fill>
      <patternFill patternType="none"/>
    </fill>
    <fill>
      <patternFill patternType="gray125"/>
    </fill>
    <fill>
      <patternFill patternType="solid">
        <fgColor rgb="FF4A86E8"/>
        <bgColor rgb="FF4A86E8"/>
      </patternFill>
    </fill>
    <fill>
      <patternFill patternType="solid">
        <fgColor rgb="FFB6D7A8"/>
        <bgColor rgb="FFB6D7A8"/>
      </patternFill>
    </fill>
    <fill>
      <patternFill patternType="solid">
        <fgColor rgb="FF92CDDC"/>
        <bgColor rgb="FF92CDDC"/>
      </patternFill>
    </fill>
    <fill>
      <patternFill patternType="solid">
        <fgColor rgb="FF999999"/>
        <bgColor rgb="FF999999"/>
      </patternFill>
    </fill>
    <fill>
      <patternFill patternType="solid">
        <fgColor rgb="FF339966"/>
        <bgColor rgb="FF339966"/>
      </patternFill>
    </fill>
    <fill>
      <patternFill patternType="solid">
        <fgColor rgb="FFFFFF00"/>
        <bgColor rgb="FFFFFF00"/>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EEBCF7"/>
        <bgColor indexed="64"/>
      </patternFill>
    </fill>
    <fill>
      <patternFill patternType="solid">
        <fgColor rgb="FFFFFF00"/>
        <bgColor indexed="64"/>
      </patternFill>
    </fill>
    <fill>
      <patternFill patternType="solid">
        <fgColor rgb="FF00B050"/>
        <bgColor indexed="64"/>
      </patternFill>
    </fill>
    <fill>
      <patternFill patternType="solid">
        <fgColor theme="0"/>
        <bgColor indexed="64"/>
      </patternFill>
    </fill>
    <fill>
      <patternFill patternType="solid">
        <fgColor rgb="FFFFC000"/>
        <bgColor indexed="64"/>
      </patternFill>
    </fill>
  </fills>
  <borders count="2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0" fillId="0" borderId="0" applyNumberFormat="0" applyFill="0" applyBorder="0" applyAlignment="0" applyProtection="0"/>
  </cellStyleXfs>
  <cellXfs count="142">
    <xf numFmtId="0" fontId="0" fillId="0" borderId="0" xfId="0"/>
    <xf numFmtId="0" fontId="3" fillId="0" borderId="0" xfId="0" applyFont="1" applyAlignment="1">
      <alignment horizontal="center" vertical="center"/>
    </xf>
    <xf numFmtId="0" fontId="4" fillId="0" borderId="0" xfId="0" applyFont="1" applyAlignment="1">
      <alignment horizontal="center" vertical="center"/>
    </xf>
    <xf numFmtId="0" fontId="4" fillId="4" borderId="10" xfId="0" applyFont="1" applyFill="1" applyBorder="1" applyAlignment="1">
      <alignment horizontal="center" vertical="center"/>
    </xf>
    <xf numFmtId="0" fontId="3" fillId="0" borderId="10" xfId="0" applyFont="1" applyBorder="1" applyAlignment="1">
      <alignment horizontal="center" vertical="top" wrapText="1"/>
    </xf>
    <xf numFmtId="0" fontId="3" fillId="0" borderId="3" xfId="0" applyFont="1" applyBorder="1" applyAlignment="1">
      <alignment horizontal="left" vertical="top"/>
    </xf>
    <xf numFmtId="0" fontId="5" fillId="0" borderId="10" xfId="0" applyFont="1" applyBorder="1" applyAlignment="1">
      <alignment horizontal="left" vertical="top" wrapText="1"/>
    </xf>
    <xf numFmtId="0" fontId="3" fillId="0" borderId="10" xfId="0" applyFont="1" applyBorder="1" applyAlignment="1">
      <alignment vertical="top"/>
    </xf>
    <xf numFmtId="0" fontId="3" fillId="0" borderId="10" xfId="0" applyFont="1" applyBorder="1" applyAlignment="1">
      <alignment vertical="top" wrapText="1"/>
    </xf>
    <xf numFmtId="0" fontId="3" fillId="0" borderId="10" xfId="0" applyFont="1" applyBorder="1" applyAlignment="1">
      <alignment horizontal="center" vertical="top"/>
    </xf>
    <xf numFmtId="0" fontId="3" fillId="0" borderId="0" xfId="0" applyFont="1" applyAlignment="1">
      <alignment vertical="top"/>
    </xf>
    <xf numFmtId="0" fontId="3" fillId="0" borderId="10" xfId="0" applyFont="1" applyBorder="1" applyAlignment="1">
      <alignment horizontal="left" vertical="top" wrapText="1"/>
    </xf>
    <xf numFmtId="0" fontId="7" fillId="0" borderId="10" xfId="0" applyFont="1" applyBorder="1" applyAlignment="1">
      <alignment horizontal="center" vertical="top"/>
    </xf>
    <xf numFmtId="0" fontId="3" fillId="0" borderId="0" xfId="0" applyFont="1"/>
    <xf numFmtId="0" fontId="8" fillId="0" borderId="0" xfId="0" applyFont="1" applyAlignment="1">
      <alignment horizontal="right"/>
    </xf>
    <xf numFmtId="0" fontId="5" fillId="0" borderId="0" xfId="0" applyFont="1" applyAlignment="1">
      <alignment horizontal="center"/>
    </xf>
    <xf numFmtId="0" fontId="8" fillId="7" borderId="13" xfId="0" applyFont="1" applyFill="1" applyBorder="1"/>
    <xf numFmtId="0" fontId="8" fillId="7" borderId="13" xfId="0" applyFont="1" applyFill="1" applyBorder="1" applyAlignment="1">
      <alignment horizontal="center"/>
    </xf>
    <xf numFmtId="0" fontId="5" fillId="0" borderId="0" xfId="0" applyFont="1"/>
    <xf numFmtId="0" fontId="8" fillId="0" borderId="0" xfId="0" applyFont="1" applyAlignment="1">
      <alignment horizontal="center"/>
    </xf>
    <xf numFmtId="0" fontId="8" fillId="0" borderId="12" xfId="0" applyFont="1" applyBorder="1" applyAlignment="1">
      <alignment horizontal="center"/>
    </xf>
    <xf numFmtId="0" fontId="8" fillId="0" borderId="14" xfId="0" applyFont="1" applyBorder="1" applyAlignment="1">
      <alignment horizontal="right"/>
    </xf>
    <xf numFmtId="0" fontId="5" fillId="6" borderId="11" xfId="0" applyFont="1" applyFill="1" applyBorder="1" applyAlignment="1">
      <alignment horizontal="center" vertical="center"/>
    </xf>
    <xf numFmtId="0" fontId="3" fillId="0" borderId="0" xfId="0" applyFont="1" applyAlignment="1">
      <alignment horizontal="center"/>
    </xf>
    <xf numFmtId="0" fontId="5" fillId="0" borderId="11" xfId="0" applyFont="1" applyBorder="1" applyAlignment="1">
      <alignment horizontal="left" vertical="top" wrapText="1"/>
    </xf>
    <xf numFmtId="0" fontId="5" fillId="0" borderId="11" xfId="0" applyFont="1" applyBorder="1" applyAlignment="1">
      <alignment horizontal="center" vertical="center"/>
    </xf>
    <xf numFmtId="10" fontId="5" fillId="0" borderId="11" xfId="0" applyNumberFormat="1" applyFont="1" applyBorder="1" applyAlignment="1">
      <alignment horizontal="center"/>
    </xf>
    <xf numFmtId="0" fontId="1" fillId="8" borderId="8" xfId="0" applyFont="1" applyFill="1" applyBorder="1" applyAlignment="1">
      <alignment horizontal="center" vertical="center" wrapText="1"/>
    </xf>
    <xf numFmtId="0" fontId="1" fillId="8" borderId="15" xfId="0" applyFont="1" applyFill="1" applyBorder="1" applyAlignment="1">
      <alignment horizontal="center" vertical="center" wrapText="1"/>
    </xf>
    <xf numFmtId="0" fontId="1" fillId="8" borderId="14" xfId="0" applyFont="1" applyFill="1" applyBorder="1" applyAlignment="1">
      <alignment horizontal="center" vertical="center" wrapText="1"/>
    </xf>
    <xf numFmtId="0" fontId="3" fillId="0" borderId="9" xfId="0" applyFont="1" applyBorder="1" applyAlignment="1">
      <alignment horizontal="center" vertical="top" wrapText="1"/>
    </xf>
    <xf numFmtId="0" fontId="3" fillId="11" borderId="10" xfId="0" applyFont="1" applyFill="1" applyBorder="1" applyAlignment="1">
      <alignment horizontal="left" vertical="top" wrapText="1"/>
    </xf>
    <xf numFmtId="0" fontId="5" fillId="0" borderId="11" xfId="0" applyFont="1" applyBorder="1" applyAlignment="1">
      <alignment horizontal="center" vertical="top" wrapText="1"/>
    </xf>
    <xf numFmtId="0" fontId="5" fillId="5" borderId="11" xfId="0" applyFont="1" applyFill="1" applyBorder="1" applyAlignment="1">
      <alignment horizontal="center" vertical="top" wrapText="1"/>
    </xf>
    <xf numFmtId="0" fontId="3" fillId="0" borderId="3" xfId="0" applyFont="1" applyBorder="1" applyAlignment="1">
      <alignment vertical="top"/>
    </xf>
    <xf numFmtId="0" fontId="5" fillId="0" borderId="1" xfId="0" applyFont="1" applyBorder="1" applyAlignment="1">
      <alignment horizontal="left" vertical="top" wrapText="1"/>
    </xf>
    <xf numFmtId="0" fontId="3" fillId="0" borderId="13" xfId="0" applyFont="1" applyBorder="1" applyAlignment="1">
      <alignment vertical="top" wrapText="1"/>
    </xf>
    <xf numFmtId="0" fontId="3" fillId="0" borderId="2" xfId="0" applyFont="1" applyBorder="1" applyAlignment="1">
      <alignment horizontal="center" vertical="top" wrapText="1"/>
    </xf>
    <xf numFmtId="0" fontId="6" fillId="0" borderId="2" xfId="0" applyFont="1" applyBorder="1" applyAlignment="1">
      <alignment horizontal="center" vertical="top" wrapText="1"/>
    </xf>
    <xf numFmtId="0" fontId="3" fillId="0" borderId="13" xfId="0" applyFont="1" applyBorder="1"/>
    <xf numFmtId="0" fontId="3" fillId="0" borderId="3" xfId="0" applyFont="1" applyBorder="1" applyAlignment="1">
      <alignment horizontal="center" vertical="top" wrapText="1"/>
    </xf>
    <xf numFmtId="0" fontId="3" fillId="0" borderId="13" xfId="0" applyFont="1" applyBorder="1" applyAlignment="1">
      <alignment horizontal="center" vertical="top" wrapText="1"/>
    </xf>
    <xf numFmtId="0" fontId="8" fillId="7" borderId="0" xfId="0" applyFont="1" applyFill="1"/>
    <xf numFmtId="0" fontId="8" fillId="7" borderId="0" xfId="0" applyFont="1" applyFill="1" applyAlignment="1">
      <alignment horizontal="center"/>
    </xf>
    <xf numFmtId="0" fontId="5" fillId="0" borderId="2" xfId="0" applyFont="1" applyBorder="1" applyAlignment="1">
      <alignment horizontal="left" vertical="top" wrapText="1"/>
    </xf>
    <xf numFmtId="0" fontId="3" fillId="11" borderId="2" xfId="0" applyFont="1" applyFill="1" applyBorder="1" applyAlignment="1">
      <alignment horizontal="left" vertical="top" wrapText="1"/>
    </xf>
    <xf numFmtId="0" fontId="8" fillId="0" borderId="13" xfId="0" applyFont="1" applyBorder="1" applyAlignment="1">
      <alignment horizontal="center"/>
    </xf>
    <xf numFmtId="10" fontId="5" fillId="0" borderId="13" xfId="0" applyNumberFormat="1" applyFont="1" applyBorder="1" applyAlignment="1">
      <alignment horizontal="center"/>
    </xf>
    <xf numFmtId="0" fontId="5" fillId="0" borderId="13" xfId="0" applyFont="1" applyBorder="1" applyAlignment="1">
      <alignment horizontal="center" vertical="center"/>
    </xf>
    <xf numFmtId="0" fontId="3" fillId="0" borderId="10" xfId="0" applyFont="1" applyBorder="1"/>
    <xf numFmtId="0" fontId="5" fillId="0" borderId="13" xfId="0" applyFont="1" applyBorder="1" applyAlignment="1">
      <alignment horizontal="center"/>
    </xf>
    <xf numFmtId="0" fontId="9" fillId="12" borderId="1" xfId="0" applyFont="1" applyFill="1" applyBorder="1" applyAlignment="1">
      <alignment horizontal="center" vertical="center"/>
    </xf>
    <xf numFmtId="0" fontId="5" fillId="0" borderId="4" xfId="1" applyFont="1" applyBorder="1" applyAlignment="1">
      <alignment vertical="top" wrapText="1"/>
    </xf>
    <xf numFmtId="0" fontId="5" fillId="0" borderId="3" xfId="1" applyFont="1" applyBorder="1" applyAlignment="1">
      <alignment vertical="top" wrapText="1"/>
    </xf>
    <xf numFmtId="0" fontId="3" fillId="13" borderId="9" xfId="0" applyFont="1" applyFill="1" applyBorder="1" applyAlignment="1">
      <alignment horizontal="center" vertical="top" wrapText="1"/>
    </xf>
    <xf numFmtId="0" fontId="3" fillId="0" borderId="10" xfId="0" applyFont="1" applyBorder="1" applyAlignment="1">
      <alignment horizontal="center" vertical="top" wrapText="1" readingOrder="1"/>
    </xf>
    <xf numFmtId="0" fontId="3" fillId="0" borderId="16" xfId="0" applyFont="1" applyBorder="1" applyAlignment="1">
      <alignment horizontal="center" vertical="top" wrapText="1"/>
    </xf>
    <xf numFmtId="0" fontId="5" fillId="13" borderId="9" xfId="0" applyFont="1" applyFill="1" applyBorder="1" applyAlignment="1">
      <alignment horizontal="center" vertical="top" wrapText="1"/>
    </xf>
    <xf numFmtId="0" fontId="5" fillId="0" borderId="10" xfId="0" applyFont="1" applyBorder="1" applyAlignment="1">
      <alignment horizontal="center" vertical="top" wrapText="1"/>
    </xf>
    <xf numFmtId="0" fontId="5" fillId="0" borderId="20" xfId="0" applyFont="1" applyBorder="1" applyAlignment="1">
      <alignment horizontal="center" vertical="top" wrapText="1"/>
    </xf>
    <xf numFmtId="0" fontId="5" fillId="0" borderId="21" xfId="0" applyFont="1" applyBorder="1" applyAlignment="1">
      <alignment horizontal="center" vertical="top" wrapText="1"/>
    </xf>
    <xf numFmtId="0" fontId="5" fillId="0" borderId="22" xfId="0" applyFont="1" applyBorder="1" applyAlignment="1">
      <alignment horizontal="center" vertical="top" wrapText="1"/>
    </xf>
    <xf numFmtId="0" fontId="5" fillId="0" borderId="23" xfId="0" applyFont="1" applyBorder="1" applyAlignment="1">
      <alignment horizontal="center" vertical="top" wrapText="1"/>
    </xf>
    <xf numFmtId="0" fontId="5" fillId="0" borderId="24" xfId="0" applyFont="1" applyBorder="1" applyAlignment="1">
      <alignment horizontal="center" vertical="top" wrapText="1"/>
    </xf>
    <xf numFmtId="0" fontId="10" fillId="0" borderId="10" xfId="1" applyBorder="1" applyAlignment="1">
      <alignment vertical="top" wrapText="1"/>
    </xf>
    <xf numFmtId="0" fontId="10" fillId="0" borderId="10" xfId="1" applyBorder="1" applyAlignment="1">
      <alignment horizontal="center" vertical="top"/>
    </xf>
    <xf numFmtId="0" fontId="3" fillId="0" borderId="11" xfId="0" applyFont="1" applyBorder="1"/>
    <xf numFmtId="0" fontId="3" fillId="0" borderId="0" xfId="0" applyFont="1" applyAlignment="1">
      <alignment vertical="top" wrapText="1"/>
    </xf>
    <xf numFmtId="0" fontId="3" fillId="0" borderId="3" xfId="0" applyFont="1" applyBorder="1" applyAlignment="1">
      <alignment horizontal="center" vertical="top"/>
    </xf>
    <xf numFmtId="0" fontId="6" fillId="0" borderId="10" xfId="0" applyFont="1" applyBorder="1" applyAlignment="1">
      <alignment vertical="top" wrapText="1"/>
    </xf>
    <xf numFmtId="0" fontId="10" fillId="0" borderId="1" xfId="1" applyBorder="1" applyAlignment="1">
      <alignment horizontal="center" vertical="top"/>
    </xf>
    <xf numFmtId="10" fontId="5" fillId="0" borderId="10" xfId="0" applyNumberFormat="1" applyFont="1" applyBorder="1" applyAlignment="1">
      <alignment horizontal="center"/>
    </xf>
    <xf numFmtId="0" fontId="8" fillId="0" borderId="13" xfId="0" applyFont="1" applyBorder="1" applyAlignment="1">
      <alignment horizontal="right"/>
    </xf>
    <xf numFmtId="0" fontId="3" fillId="14" borderId="9" xfId="0" applyFont="1" applyFill="1" applyBorder="1" applyAlignment="1">
      <alignment vertical="top" wrapText="1"/>
    </xf>
    <xf numFmtId="0" fontId="3" fillId="15" borderId="9" xfId="0" applyFont="1" applyFill="1" applyBorder="1" applyAlignment="1">
      <alignment horizontal="center" vertical="top" wrapText="1"/>
    </xf>
    <xf numFmtId="0" fontId="5" fillId="0" borderId="10" xfId="0" applyFont="1" applyBorder="1" applyAlignment="1">
      <alignment horizontal="center" vertical="top" wrapText="1" readingOrder="1"/>
    </xf>
    <xf numFmtId="0" fontId="5" fillId="0" borderId="7" xfId="1" applyFont="1" applyBorder="1" applyAlignment="1">
      <alignment vertical="top" wrapText="1"/>
    </xf>
    <xf numFmtId="0" fontId="3" fillId="0" borderId="9" xfId="0" applyFont="1" applyBorder="1"/>
    <xf numFmtId="0" fontId="5" fillId="0" borderId="11" xfId="1" applyFont="1" applyBorder="1" applyAlignment="1">
      <alignment vertical="top" wrapText="1"/>
    </xf>
    <xf numFmtId="0" fontId="5" fillId="0" borderId="10" xfId="1" applyFont="1" applyBorder="1" applyAlignment="1">
      <alignment horizontal="center" vertical="top" wrapText="1"/>
    </xf>
    <xf numFmtId="0" fontId="10" fillId="0" borderId="9" xfId="1" applyBorder="1" applyAlignment="1">
      <alignment horizontal="center" vertical="top"/>
    </xf>
    <xf numFmtId="0" fontId="10" fillId="0" borderId="13" xfId="1" applyBorder="1" applyAlignment="1">
      <alignment horizontal="center" vertical="top"/>
    </xf>
    <xf numFmtId="0" fontId="5" fillId="0" borderId="13" xfId="1" applyFont="1" applyBorder="1" applyAlignment="1">
      <alignment horizontal="center" vertical="top" wrapText="1"/>
    </xf>
    <xf numFmtId="0" fontId="5" fillId="0" borderId="12" xfId="1" applyFont="1" applyBorder="1" applyAlignment="1">
      <alignment vertical="top" wrapText="1"/>
    </xf>
    <xf numFmtId="0" fontId="10" fillId="0" borderId="8" xfId="1" applyBorder="1" applyAlignment="1">
      <alignment horizontal="center" vertical="top"/>
    </xf>
    <xf numFmtId="0" fontId="10" fillId="0" borderId="3" xfId="1" applyBorder="1" applyAlignment="1">
      <alignment horizontal="center" vertical="top"/>
    </xf>
    <xf numFmtId="0" fontId="5" fillId="0" borderId="1" xfId="1" applyFont="1" applyBorder="1" applyAlignment="1">
      <alignment horizontal="center" vertical="top" wrapText="1"/>
    </xf>
    <xf numFmtId="0" fontId="1" fillId="2" borderId="1"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12" borderId="5" xfId="0" applyFont="1" applyFill="1" applyBorder="1" applyAlignment="1">
      <alignment horizontal="center" vertical="center" wrapText="1"/>
    </xf>
    <xf numFmtId="0" fontId="1" fillId="12" borderId="6" xfId="0" applyFont="1" applyFill="1" applyBorder="1" applyAlignment="1">
      <alignment horizontal="center" vertical="center" wrapText="1"/>
    </xf>
    <xf numFmtId="0" fontId="1" fillId="12" borderId="16" xfId="0" applyFont="1" applyFill="1" applyBorder="1" applyAlignment="1">
      <alignment horizontal="center" vertical="center" wrapText="1"/>
    </xf>
    <xf numFmtId="0" fontId="1" fillId="12" borderId="11" xfId="0" applyFont="1" applyFill="1" applyBorder="1" applyAlignment="1">
      <alignment horizontal="center" vertical="center" wrapText="1"/>
    </xf>
    <xf numFmtId="0" fontId="9" fillId="8" borderId="11" xfId="0" applyFont="1" applyFill="1" applyBorder="1" applyAlignment="1">
      <alignment horizontal="center" vertical="center"/>
    </xf>
    <xf numFmtId="0" fontId="9" fillId="8" borderId="9"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9" fillId="10" borderId="2" xfId="0" applyFont="1" applyFill="1" applyBorder="1" applyAlignment="1">
      <alignment horizontal="center" vertical="center" wrapText="1"/>
    </xf>
    <xf numFmtId="0" fontId="9" fillId="10" borderId="10" xfId="0" applyFont="1" applyFill="1" applyBorder="1" applyAlignment="1">
      <alignment horizontal="center" vertical="center" wrapText="1"/>
    </xf>
    <xf numFmtId="0" fontId="1" fillId="9" borderId="5" xfId="0" applyFont="1" applyFill="1" applyBorder="1" applyAlignment="1">
      <alignment horizontal="center" vertical="center" wrapText="1"/>
    </xf>
    <xf numFmtId="0" fontId="1" fillId="8" borderId="10"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9" fillId="10" borderId="5" xfId="0" applyFont="1" applyFill="1" applyBorder="1" applyAlignment="1">
      <alignment horizontal="center" vertical="center" wrapText="1"/>
    </xf>
    <xf numFmtId="0" fontId="9" fillId="10" borderId="6"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4" fillId="9" borderId="17" xfId="0" applyFont="1" applyFill="1" applyBorder="1" applyAlignment="1">
      <alignment horizontal="center" vertical="center" wrapText="1"/>
    </xf>
    <xf numFmtId="0" fontId="4" fillId="9" borderId="18" xfId="0" applyFont="1" applyFill="1" applyBorder="1" applyAlignment="1">
      <alignment horizontal="center" vertical="center" wrapText="1"/>
    </xf>
    <xf numFmtId="0" fontId="4" fillId="9" borderId="19" xfId="0" applyFont="1" applyFill="1" applyBorder="1" applyAlignment="1">
      <alignment horizontal="center" vertical="center" wrapText="1"/>
    </xf>
    <xf numFmtId="0" fontId="1" fillId="8" borderId="11"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8" borderId="9"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8" borderId="1" xfId="0" applyFont="1" applyFill="1" applyBorder="1" applyAlignment="1">
      <alignment horizontal="center" vertical="center" wrapText="1"/>
    </xf>
    <xf numFmtId="0" fontId="1" fillId="9" borderId="2"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9" borderId="5" xfId="0" applyFont="1" applyFill="1" applyBorder="1" applyAlignment="1">
      <alignment horizontal="center" vertical="center" wrapText="1"/>
    </xf>
    <xf numFmtId="0" fontId="9" fillId="8" borderId="3" xfId="0" applyFont="1" applyFill="1" applyBorder="1" applyAlignment="1">
      <alignment horizontal="center" vertical="center"/>
    </xf>
    <xf numFmtId="0" fontId="9" fillId="8" borderId="10" xfId="0" applyFont="1" applyFill="1" applyBorder="1" applyAlignment="1">
      <alignment horizontal="center" vertical="center"/>
    </xf>
    <xf numFmtId="0" fontId="5" fillId="0" borderId="2" xfId="1" applyFont="1" applyBorder="1" applyAlignment="1">
      <alignment vertical="top" wrapText="1"/>
    </xf>
    <xf numFmtId="0" fontId="2" fillId="9" borderId="4" xfId="0" applyFont="1" applyFill="1" applyBorder="1" applyAlignment="1"/>
    <xf numFmtId="0" fontId="2" fillId="9" borderId="3" xfId="0" applyFont="1" applyFill="1" applyBorder="1" applyAlignment="1"/>
    <xf numFmtId="0" fontId="9" fillId="8" borderId="1" xfId="0" applyFont="1" applyFill="1" applyBorder="1" applyAlignment="1"/>
    <xf numFmtId="0" fontId="9" fillId="8" borderId="5" xfId="0" applyFont="1" applyFill="1" applyBorder="1" applyAlignment="1"/>
    <xf numFmtId="0" fontId="2" fillId="0" borderId="3" xfId="0" applyFont="1" applyBorder="1" applyAlignment="1"/>
    <xf numFmtId="0" fontId="2" fillId="0" borderId="6" xfId="0" applyFont="1" applyBorder="1" applyAlignment="1"/>
    <xf numFmtId="0" fontId="2" fillId="0" borderId="7" xfId="0" applyFont="1" applyBorder="1" applyAlignment="1"/>
    <xf numFmtId="0" fontId="2" fillId="0" borderId="8" xfId="0" applyFont="1" applyBorder="1" applyAlignment="1"/>
    <xf numFmtId="0" fontId="2" fillId="0" borderId="9" xfId="0" applyFont="1" applyBorder="1" applyAlignment="1"/>
    <xf numFmtId="0" fontId="2" fillId="9" borderId="9" xfId="0" applyFont="1" applyFill="1" applyBorder="1" applyAlignment="1"/>
    <xf numFmtId="0" fontId="2" fillId="9" borderId="16" xfId="0" applyFont="1" applyFill="1" applyBorder="1" applyAlignment="1"/>
    <xf numFmtId="0" fontId="2" fillId="0" borderId="16" xfId="0" applyFont="1" applyBorder="1" applyAlignment="1"/>
    <xf numFmtId="0" fontId="2" fillId="0" borderId="11" xfId="0" applyFont="1" applyBorder="1" applyAlignment="1"/>
    <xf numFmtId="0" fontId="2" fillId="9" borderId="7" xfId="0" applyFont="1" applyFill="1" applyBorder="1" applyAlignment="1"/>
    <xf numFmtId="0" fontId="9" fillId="8" borderId="10" xfId="0" applyFont="1" applyFill="1" applyBorder="1" applyAlignment="1"/>
    <xf numFmtId="0" fontId="2" fillId="0" borderId="15" xfId="0" applyFont="1" applyBorder="1" applyAlignment="1"/>
    <xf numFmtId="0" fontId="2" fillId="9" borderId="20" xfId="0" applyFont="1" applyFill="1" applyBorder="1" applyAlignment="1"/>
    <xf numFmtId="0" fontId="2" fillId="9" borderId="10" xfId="0" applyFont="1" applyFill="1" applyBorder="1" applyAlignment="1"/>
    <xf numFmtId="0" fontId="2" fillId="9" borderId="21" xfId="0" applyFont="1" applyFill="1" applyBorder="1" applyAlignment="1"/>
  </cellXfs>
  <cellStyles count="2">
    <cellStyle name="Hyperlink" xfId="1" builtinId="8"/>
    <cellStyle name="ปกติ" xfId="0" builtinId="0"/>
  </cellStyles>
  <dxfs count="0"/>
  <tableStyles count="0" defaultTableStyle="TableStyleMedium2" defaultPivotStyle="PivotStyleLight16"/>
  <colors>
    <mruColors>
      <color rgb="FFEEBC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34" Type="http://schemas.openxmlformats.org/officeDocument/2006/relationships/customXml" Target="../customXml/item2.xml"/><Relationship Id="rId33" Type="http://schemas.openxmlformats.org/officeDocument/2006/relationships/customXml" Target="../customXml/item1.xml"/><Relationship Id="rId2" Type="http://schemas.openxmlformats.org/officeDocument/2006/relationships/worksheet" Target="worksheets/sheet2.xml"/><Relationship Id="rId29" Type="http://schemas.openxmlformats.org/officeDocument/2006/relationships/theme" Target="theme/theme1.xml"/><Relationship Id="rId1" Type="http://schemas.openxmlformats.org/officeDocument/2006/relationships/worksheet" Target="worksheets/sheet1.xml"/><Relationship Id="rId32" Type="http://schemas.openxmlformats.org/officeDocument/2006/relationships/calcChain" Target="calcChain.xml"/><Relationship Id="rId28" Type="http://customschemas.google.com/relationships/workbookmetadata" Target="metadata"/><Relationship Id="rId31" Type="http://schemas.openxmlformats.org/officeDocument/2006/relationships/sharedStrings" Target="sharedStrings.xml"/><Relationship Id="rId30" Type="http://schemas.openxmlformats.org/officeDocument/2006/relationships/styles" Target="styles.xml"/><Relationship Id="rId35"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447675</xdr:colOff>
      <xdr:row>23</xdr:row>
      <xdr:rowOff>114300</xdr:rowOff>
    </xdr:to>
    <xdr:pic>
      <xdr:nvPicPr>
        <xdr:cNvPr id="2" name="Picture 1">
          <a:extLst>
            <a:ext uri="{FF2B5EF4-FFF2-40B4-BE49-F238E27FC236}">
              <a16:creationId xmlns:a16="http://schemas.microsoft.com/office/drawing/2014/main" id="{F30BA40E-7D5F-4D14-B557-3F5414523057}"/>
            </a:ext>
            <a:ext uri="{147F2762-F138-4A5C-976F-8EAC2B608ADB}">
              <a16:predDERef xmlns:a16="http://schemas.microsoft.com/office/drawing/2014/main" pred="{26FE263A-B2AB-5DB4-E683-863D4B68C382}"/>
            </a:ext>
          </a:extLst>
        </xdr:cNvPr>
        <xdr:cNvPicPr>
          <a:picLocks noChangeAspect="1"/>
        </xdr:cNvPicPr>
      </xdr:nvPicPr>
      <xdr:blipFill>
        <a:blip xmlns:r="http://schemas.openxmlformats.org/officeDocument/2006/relationships" r:embed="rId1"/>
        <a:stretch>
          <a:fillRect/>
        </a:stretch>
      </xdr:blipFill>
      <xdr:spPr>
        <a:xfrm>
          <a:off x="0" y="0"/>
          <a:ext cx="10810875" cy="44958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hyperlink" Target="https://truecorp.sharepoint.com/:f:/s/TrueCorp-TrueDtacTH-TotalAccessCommunicationPlc-TechM-Workingarea/IgCDq0qi08QQTZbj7qB-bB_zAaGIBHSRYnJ87tbc-zZT_V0?e=gpG0ZN" TargetMode="External"/><Relationship Id="rId13" Type="http://schemas.openxmlformats.org/officeDocument/2006/relationships/hyperlink" Target="https://truecorp.sharepoint.com/:f:/s/TrueCorp-TrueDtacTH-TotalAccessCommunicationPlc-TechM-Workingarea/IgCIrs7B_STUTJC3_CHckbYEASW9ZmYIDZGbxAinUBdkBvM?e=ewg6Na" TargetMode="External"/><Relationship Id="rId18" Type="http://schemas.openxmlformats.org/officeDocument/2006/relationships/hyperlink" Target="https://truecorp.sharepoint.com/:f:/s/TrueCorp-TrueDtacTH-TotalAccessCommunicationPlc-TechM-Workingarea/IgBOicH_6KetQZhH-FTKsdWOAbiihMFbX93hX4bRssFCO4Y?e=UEf53Z" TargetMode="External"/><Relationship Id="rId3" Type="http://schemas.openxmlformats.org/officeDocument/2006/relationships/hyperlink" Target="https://truecorp.sharepoint.com/:f:/s/TrueCorp-TrueDtacTH-TotalAccessCommunicationPlc-TechM-Workingarea/IgBatwUDUOTmRbX62FrMP3E6ARnlNPXMzE9DYLnMhfuFnZ8?e=iPOoPS" TargetMode="External"/><Relationship Id="rId21" Type="http://schemas.openxmlformats.org/officeDocument/2006/relationships/hyperlink" Target="https://truecorp.sharepoint.com/:f:/s/TrueCorp-TrueDtacTH-TotalAccessCommunicationPlc-TechM-Workingarea/IgAkrCQIpbjfTomijRm0CVTFATBiEu2984aoO4a0RO-7ecY?e=9WDAZP" TargetMode="External"/><Relationship Id="rId7" Type="http://schemas.openxmlformats.org/officeDocument/2006/relationships/hyperlink" Target="https://truecorp.sharepoint.com/:f:/s/TrueCorp-TrueDtacTH-TotalAccessCommunicationPlc-TechM-Workingarea/IgDkSiqaEOAdSbY1gma5VQx_AaBO1retFuSG1Iw-Z8Hv2vg?e=IC7QMI" TargetMode="External"/><Relationship Id="rId12" Type="http://schemas.openxmlformats.org/officeDocument/2006/relationships/hyperlink" Target="https://truecorp.sharepoint.com/:f:/s/TrueCorp-TrueDtacTH-TotalAccessCommunicationPlc-TechM-Workingarea/IgAYEtKJP6NDSrHNeKQhqoeBAarnDsLq6NAWb9huDET8kug?e=IScTeW" TargetMode="External"/><Relationship Id="rId17" Type="http://schemas.openxmlformats.org/officeDocument/2006/relationships/hyperlink" Target="https://truecorp.sharepoint.com/:f:/s/TrueCorp-TrueDtacTH-TotalAccessCommunicationPlc-TechM-Workingarea/IgApw57TfVf5TLY1qn41sQTBAaqBM7n1IAdHxbVbduYm0Dc?e=IgESDD" TargetMode="External"/><Relationship Id="rId2" Type="http://schemas.openxmlformats.org/officeDocument/2006/relationships/hyperlink" Target="https://truecorp.sharepoint.com/:f:/s/TrueCorp-TrueDtacTH-TotalAccessCommunicationPlc-TechM-Workingarea/IgAhQIhY04VaQawVWKryzrKrAcvV05TIxPKWqP1TbH_cGYU?e=A3hVgs" TargetMode="External"/><Relationship Id="rId16" Type="http://schemas.openxmlformats.org/officeDocument/2006/relationships/hyperlink" Target="https://truecorp.sharepoint.com/:f:/s/TrueCorp-TrueDtacTH-TotalAccessCommunicationPlc-TechM-Workingarea/IgBcCZ9446dNTJDQ1XDadfF-AcdUtEnoo1SUgKwzSE85ve4?e=cUuWbB" TargetMode="External"/><Relationship Id="rId20" Type="http://schemas.openxmlformats.org/officeDocument/2006/relationships/hyperlink" Target="https://truecorp.sharepoint.com/:f:/s/TrueCorp-TrueDtacTH-TotalAccessCommunicationPlc-TechM-Workingarea/IgBBqwm7YoxkQLB0YyrwCR3qAUJU-w1zTGxyHKqq20sJdlI?e=0fRMNY" TargetMode="External"/><Relationship Id="rId1" Type="http://schemas.openxmlformats.org/officeDocument/2006/relationships/hyperlink" Target="https://trueomx.atlassian.net/browse/THL-1395" TargetMode="External"/><Relationship Id="rId6" Type="http://schemas.openxmlformats.org/officeDocument/2006/relationships/hyperlink" Target="https://trueomx.atlassian.net/browse/THL-1382" TargetMode="External"/><Relationship Id="rId11" Type="http://schemas.openxmlformats.org/officeDocument/2006/relationships/hyperlink" Target="https://truecorp.sharepoint.com/:f:/s/TrueCorp-TrueDtacTH-TotalAccessCommunicationPlc-TechM-Workingarea/IgDWMR1g0VSUQa9Bw7SUWcoRAYULxmZtWnZ9_TrcklkWO0E?e=A1pfdz" TargetMode="External"/><Relationship Id="rId24" Type="http://schemas.openxmlformats.org/officeDocument/2006/relationships/hyperlink" Target="https://truecorp.sharepoint.com/:f:/s/TrueCorp-TrueDtacTH-TotalAccessCommunicationPlc-TechM-Workingarea/IgAKU0EM--mfQ7jt4uUxmYMkASzLeynZHuGGw9SiM-C0Iyo?e=S6oprg" TargetMode="External"/><Relationship Id="rId5" Type="http://schemas.openxmlformats.org/officeDocument/2006/relationships/hyperlink" Target="https://truecorp.sharepoint.com/:f:/s/TrueCorp-TrueDtacTH-TotalAccessCommunicationPlc-TechM-Workingarea/IgCLxeOewGssRISWLjWz1YjKAUQ1Bh746kB4ckprcpP4WEs?e=7WQuAe" TargetMode="External"/><Relationship Id="rId15" Type="http://schemas.openxmlformats.org/officeDocument/2006/relationships/hyperlink" Target="https://truecorp.sharepoint.com/:f:/s/TrueCorp-TrueDtacTH-TotalAccessCommunicationPlc-TechM-Workingarea/IgAfmeRfofetQ5-3VohfrbkhAX8kYJ936iTds2Ags2FYAWg?e=AGcwv0" TargetMode="External"/><Relationship Id="rId23" Type="http://schemas.openxmlformats.org/officeDocument/2006/relationships/hyperlink" Target="https://truecorp.sharepoint.com/:f:/s/TrueCorp-TrueDtacTH-TotalAccessCommunicationPlc-TechM-Workingarea/IgBlXK9poRFtQqTsMrh-44uKARH6IDKkdV2zEuKdaYbLjgo?e=BFh80Y" TargetMode="External"/><Relationship Id="rId10" Type="http://schemas.openxmlformats.org/officeDocument/2006/relationships/hyperlink" Target="https://truecorp.sharepoint.com/:f:/s/TrueCorp-TrueDtacTH-TotalAccessCommunicationPlc-TechM-Workingarea/IgABqwFDoAPxRoSoC2uCCD5TAemM3TJK81vmSv-8udpc9iw?e=0ZROBL" TargetMode="External"/><Relationship Id="rId19" Type="http://schemas.openxmlformats.org/officeDocument/2006/relationships/hyperlink" Target="https://truecorp.sharepoint.com/:f:/s/TrueCorp-TrueDtacTH-TotalAccessCommunicationPlc-TechM-Workingarea/IgDfuVqy4-Z3TLfincrcVi3xAZSYL65ZSUhbE0zs8a_8AeE?e=Rv7qE5" TargetMode="External"/><Relationship Id="rId4" Type="http://schemas.openxmlformats.org/officeDocument/2006/relationships/hyperlink" Target="https://truecorp.sharepoint.com/:f:/s/TrueCorp-TrueDtacTH-TotalAccessCommunicationPlc-TechM-Workingarea/IgBJJGRm_1UTRK47IpmAAR1QAbvoNlSF1JClm0GBoHEHc-Y?e=0udRmL" TargetMode="External"/><Relationship Id="rId9" Type="http://schemas.openxmlformats.org/officeDocument/2006/relationships/hyperlink" Target="https://truecorp.sharepoint.com/:f:/s/TrueCorp-TrueDtacTH-TotalAccessCommunicationPlc-TechM-Workingarea/IgB2bA5PbO5zTJCp7F_zUZSnAbDc8-w4w57wvpBTUToQ9cc?e=zeevaP" TargetMode="External"/><Relationship Id="rId14" Type="http://schemas.openxmlformats.org/officeDocument/2006/relationships/hyperlink" Target="https://truecorp.sharepoint.com/:f:/s/TrueCorp-TrueDtacTH-TotalAccessCommunicationPlc-TechM-Workingarea/IgB-CRwR0mVFQav2Tw645LrmAdAvMpTa5dMg8xuKN4AanyE?e=eyNJlZ" TargetMode="External"/><Relationship Id="rId22" Type="http://schemas.openxmlformats.org/officeDocument/2006/relationships/hyperlink" Target="https://truecorp.sharepoint.com/:f:/s/TrueCorp-TrueDtacTH-TotalAccessCommunicationPlc-TechM-Workingarea/IgDobYb4xmefR54r2tEFU2hAAdAgefFfHa6U-DGnXcehJd4?e=ozw5U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FF"/>
    <outlinePr summaryBelow="0" summaryRight="0"/>
  </sheetPr>
  <dimension ref="A1:BB983"/>
  <sheetViews>
    <sheetView workbookViewId="0">
      <pane ySplit="3" topLeftCell="A4" activePane="bottomLeft" state="frozen"/>
      <selection pane="bottomLeft" activeCell="C5" sqref="C5"/>
    </sheetView>
  </sheetViews>
  <sheetFormatPr defaultColWidth="14.42578125" defaultRowHeight="15" customHeight="1"/>
  <cols>
    <col min="1" max="1" width="20" customWidth="1"/>
    <col min="2" max="2" width="16.85546875" customWidth="1"/>
    <col min="3" max="3" width="16.7109375" customWidth="1"/>
    <col min="4" max="4" width="41.42578125" customWidth="1"/>
    <col min="5" max="6" width="11.42578125" customWidth="1"/>
    <col min="7" max="10" width="6.7109375" customWidth="1"/>
    <col min="11" max="11" width="8.85546875" customWidth="1"/>
    <col min="12" max="12" width="8.28515625" customWidth="1"/>
    <col min="13" max="13" width="7.85546875" customWidth="1"/>
    <col min="14" max="14" width="8.5703125" customWidth="1"/>
    <col min="15" max="15" width="7.7109375" customWidth="1"/>
    <col min="16" max="16" width="5.28515625" customWidth="1"/>
    <col min="17" max="17" width="6" customWidth="1"/>
    <col min="18" max="20" width="8.28515625" customWidth="1"/>
    <col min="21" max="21" width="13.7109375" customWidth="1"/>
    <col min="22" max="22" width="13.42578125" customWidth="1"/>
    <col min="23" max="23" width="7" customWidth="1"/>
    <col min="24" max="24" width="9.28515625" customWidth="1"/>
    <col min="25" max="25" width="8.28515625" customWidth="1"/>
    <col min="26" max="27" width="5.85546875" customWidth="1"/>
    <col min="28" max="29" width="8.7109375" customWidth="1"/>
    <col min="30" max="30" width="13.28515625" customWidth="1"/>
    <col min="31" max="31" width="5.28515625" customWidth="1"/>
    <col min="32" max="32" width="8.7109375" customWidth="1"/>
    <col min="33" max="33" width="57.28515625" customWidth="1"/>
    <col min="34" max="34" width="45.28515625" customWidth="1"/>
    <col min="35" max="35" width="20.85546875" customWidth="1"/>
    <col min="36" max="36" width="20.140625" customWidth="1"/>
    <col min="37" max="38" width="14.28515625" customWidth="1"/>
    <col min="39" max="39" width="32.85546875" customWidth="1"/>
    <col min="40" max="40" width="12.85546875" customWidth="1"/>
    <col min="41" max="54" width="12.7109375" customWidth="1"/>
  </cols>
  <sheetData>
    <row r="1" spans="1:54" ht="42" customHeight="1">
      <c r="A1" s="87" t="s">
        <v>0</v>
      </c>
      <c r="B1" s="87" t="s">
        <v>1</v>
      </c>
      <c r="C1" s="87" t="s">
        <v>2</v>
      </c>
      <c r="D1" s="87" t="s">
        <v>3</v>
      </c>
      <c r="E1" s="87" t="s">
        <v>4</v>
      </c>
      <c r="F1" s="87" t="s">
        <v>5</v>
      </c>
      <c r="G1" s="117" t="s">
        <v>6</v>
      </c>
      <c r="H1" s="123"/>
      <c r="I1" s="123"/>
      <c r="J1" s="124"/>
      <c r="K1" s="116" t="s">
        <v>7</v>
      </c>
      <c r="L1" s="125"/>
      <c r="M1" s="125"/>
      <c r="N1" s="125"/>
      <c r="O1" s="125"/>
      <c r="P1" s="126"/>
      <c r="Q1" s="101" t="s">
        <v>8</v>
      </c>
      <c r="R1" s="127"/>
      <c r="S1" s="102" t="s">
        <v>9</v>
      </c>
      <c r="T1" s="103"/>
      <c r="U1" s="104" t="s">
        <v>10</v>
      </c>
      <c r="V1" s="128"/>
      <c r="W1" s="104" t="s">
        <v>11</v>
      </c>
      <c r="X1" s="129"/>
      <c r="Y1" s="128"/>
      <c r="Z1" s="104" t="s">
        <v>12</v>
      </c>
      <c r="AA1" s="129"/>
      <c r="AB1" s="129"/>
      <c r="AC1" s="129"/>
      <c r="AD1" s="128"/>
      <c r="AE1" s="104" t="s">
        <v>13</v>
      </c>
      <c r="AF1" s="128"/>
      <c r="AG1" s="87" t="s">
        <v>14</v>
      </c>
      <c r="AH1" s="87" t="s">
        <v>15</v>
      </c>
      <c r="AI1" s="87" t="s">
        <v>16</v>
      </c>
      <c r="AJ1" s="87" t="s">
        <v>17</v>
      </c>
      <c r="AK1" s="115" t="s">
        <v>18</v>
      </c>
      <c r="AL1" s="115" t="s">
        <v>19</v>
      </c>
      <c r="AM1" s="87" t="s">
        <v>20</v>
      </c>
      <c r="AN1" s="87" t="s">
        <v>21</v>
      </c>
      <c r="AO1" s="1"/>
      <c r="AP1" s="1"/>
      <c r="AQ1" s="1"/>
      <c r="AR1" s="1"/>
      <c r="AS1" s="1"/>
      <c r="AT1" s="1"/>
      <c r="AU1" s="1"/>
      <c r="AV1" s="1"/>
      <c r="AW1" s="1"/>
      <c r="AX1" s="1"/>
      <c r="AY1" s="1"/>
      <c r="AZ1" s="1"/>
      <c r="BA1" s="1"/>
      <c r="BB1" s="1"/>
    </row>
    <row r="2" spans="1:54" ht="33.75" customHeight="1">
      <c r="A2" s="130"/>
      <c r="B2" s="130"/>
      <c r="C2" s="130"/>
      <c r="D2" s="130"/>
      <c r="E2" s="130"/>
      <c r="F2" s="88"/>
      <c r="G2" s="118" t="s">
        <v>22</v>
      </c>
      <c r="H2" s="118" t="s">
        <v>23</v>
      </c>
      <c r="I2" s="118" t="s">
        <v>24</v>
      </c>
      <c r="J2" s="119" t="s">
        <v>25</v>
      </c>
      <c r="K2" s="100" t="s">
        <v>26</v>
      </c>
      <c r="L2" s="100" t="s">
        <v>27</v>
      </c>
      <c r="M2" s="120" t="s">
        <v>28</v>
      </c>
      <c r="N2" s="121"/>
      <c r="O2" s="121"/>
      <c r="P2" s="121"/>
      <c r="Q2" s="95" t="s">
        <v>29</v>
      </c>
      <c r="R2" s="96" t="s">
        <v>30</v>
      </c>
      <c r="S2" s="97" t="s">
        <v>31</v>
      </c>
      <c r="T2" s="98" t="s">
        <v>32</v>
      </c>
      <c r="U2" s="113" t="s">
        <v>33</v>
      </c>
      <c r="V2" s="112" t="s">
        <v>34</v>
      </c>
      <c r="W2" s="114" t="s">
        <v>35</v>
      </c>
      <c r="X2" s="114" t="s">
        <v>36</v>
      </c>
      <c r="Y2" s="114" t="s">
        <v>37</v>
      </c>
      <c r="Z2" s="112" t="s">
        <v>38</v>
      </c>
      <c r="AA2" s="112" t="s">
        <v>39</v>
      </c>
      <c r="AB2" s="111" t="s">
        <v>40</v>
      </c>
      <c r="AC2" s="127"/>
      <c r="AD2" s="112" t="s">
        <v>41</v>
      </c>
      <c r="AE2" s="112" t="s">
        <v>29</v>
      </c>
      <c r="AF2" s="112" t="s">
        <v>30</v>
      </c>
      <c r="AG2" s="130"/>
      <c r="AH2" s="130"/>
      <c r="AI2" s="88"/>
      <c r="AJ2" s="130"/>
      <c r="AK2" s="130"/>
      <c r="AL2" s="130"/>
      <c r="AM2" s="130"/>
      <c r="AN2" s="130"/>
      <c r="AO2" s="2"/>
      <c r="AP2" s="2"/>
      <c r="AQ2" s="2"/>
      <c r="AR2" s="2"/>
      <c r="AS2" s="2"/>
      <c r="AT2" s="2"/>
      <c r="AU2" s="2"/>
      <c r="AV2" s="2"/>
      <c r="AW2" s="2"/>
      <c r="AX2" s="2"/>
      <c r="AY2" s="2"/>
      <c r="AZ2" s="2"/>
      <c r="BA2" s="2"/>
      <c r="BB2" s="2"/>
    </row>
    <row r="3" spans="1:54" ht="54.75" customHeight="1">
      <c r="A3" s="131"/>
      <c r="B3" s="131"/>
      <c r="C3" s="131"/>
      <c r="D3" s="131"/>
      <c r="E3" s="131"/>
      <c r="F3" s="88"/>
      <c r="G3" s="132"/>
      <c r="H3" s="132"/>
      <c r="I3" s="132"/>
      <c r="J3" s="133"/>
      <c r="K3" s="100"/>
      <c r="L3" s="100"/>
      <c r="M3" s="29" t="s">
        <v>42</v>
      </c>
      <c r="N3" s="27" t="s">
        <v>43</v>
      </c>
      <c r="O3" s="27" t="s">
        <v>44</v>
      </c>
      <c r="P3" s="28" t="s">
        <v>45</v>
      </c>
      <c r="Q3" s="131"/>
      <c r="R3" s="134"/>
      <c r="S3" s="97"/>
      <c r="T3" s="98"/>
      <c r="U3" s="135"/>
      <c r="V3" s="131"/>
      <c r="W3" s="131"/>
      <c r="X3" s="131"/>
      <c r="Y3" s="131"/>
      <c r="Z3" s="131"/>
      <c r="AA3" s="131"/>
      <c r="AB3" s="3" t="s">
        <v>46</v>
      </c>
      <c r="AC3" s="3" t="s">
        <v>47</v>
      </c>
      <c r="AD3" s="131"/>
      <c r="AE3" s="131"/>
      <c r="AF3" s="131"/>
      <c r="AG3" s="131"/>
      <c r="AH3" s="131"/>
      <c r="AI3" s="131"/>
      <c r="AJ3" s="131"/>
      <c r="AK3" s="131"/>
      <c r="AL3" s="131"/>
      <c r="AM3" s="131"/>
      <c r="AN3" s="131"/>
      <c r="AO3" s="2"/>
      <c r="AP3" s="2"/>
      <c r="AQ3" s="2"/>
      <c r="AR3" s="2"/>
      <c r="AS3" s="2"/>
      <c r="AT3" s="2"/>
      <c r="AU3" s="2"/>
      <c r="AV3" s="2"/>
      <c r="AW3" s="2"/>
      <c r="AX3" s="2"/>
      <c r="AY3" s="2"/>
      <c r="AZ3" s="2"/>
      <c r="BA3" s="2"/>
      <c r="BB3" s="2"/>
    </row>
    <row r="4" spans="1:54" ht="71.25" customHeight="1">
      <c r="A4" s="41" t="s">
        <v>48</v>
      </c>
      <c r="B4" s="4" t="s">
        <v>49</v>
      </c>
      <c r="C4" s="5" t="s">
        <v>50</v>
      </c>
      <c r="D4" s="6" t="s">
        <v>51</v>
      </c>
      <c r="E4" s="37" t="s">
        <v>52</v>
      </c>
      <c r="F4" s="4" t="s">
        <v>53</v>
      </c>
      <c r="G4" s="32" t="s">
        <v>54</v>
      </c>
      <c r="H4" s="32" t="s">
        <v>54</v>
      </c>
      <c r="I4" s="32"/>
      <c r="J4" s="32"/>
      <c r="K4" s="32" t="s">
        <v>54</v>
      </c>
      <c r="L4" s="32"/>
      <c r="M4" s="33"/>
      <c r="N4" s="33"/>
      <c r="O4" s="33"/>
      <c r="P4" s="33"/>
      <c r="Q4" s="32" t="s">
        <v>54</v>
      </c>
      <c r="R4" s="32"/>
      <c r="S4" s="33"/>
      <c r="T4" s="33"/>
      <c r="U4" s="33"/>
      <c r="V4" s="33"/>
      <c r="W4" s="33"/>
      <c r="X4" s="33"/>
      <c r="Y4" s="33"/>
      <c r="Z4" s="33"/>
      <c r="AA4" s="33"/>
      <c r="AB4" s="33"/>
      <c r="AC4" s="33"/>
      <c r="AD4" s="33"/>
      <c r="AE4" s="33"/>
      <c r="AF4" s="33"/>
      <c r="AG4" s="24" t="s">
        <v>55</v>
      </c>
      <c r="AH4" s="6" t="s">
        <v>56</v>
      </c>
      <c r="AI4" s="7" t="s">
        <v>57</v>
      </c>
      <c r="AJ4" s="7"/>
      <c r="AK4" s="30" t="s">
        <v>58</v>
      </c>
      <c r="AL4" s="30" t="s">
        <v>58</v>
      </c>
      <c r="AM4" s="8"/>
      <c r="AN4" s="9"/>
      <c r="AP4" s="10"/>
      <c r="AQ4" s="10"/>
      <c r="AR4" s="10"/>
      <c r="AS4" s="10"/>
      <c r="AT4" s="10"/>
      <c r="AU4" s="10"/>
      <c r="AV4" s="10"/>
      <c r="AW4" s="10"/>
      <c r="AX4" s="10"/>
      <c r="AY4" s="10"/>
      <c r="AZ4" s="10"/>
      <c r="BA4" s="10"/>
      <c r="BB4" s="10"/>
    </row>
    <row r="5" spans="1:54" ht="96.75" customHeight="1">
      <c r="A5" s="4" t="s">
        <v>48</v>
      </c>
      <c r="B5" s="40" t="s">
        <v>49</v>
      </c>
      <c r="C5" s="5" t="s">
        <v>59</v>
      </c>
      <c r="D5" s="6" t="s">
        <v>60</v>
      </c>
      <c r="E5" s="37" t="s">
        <v>52</v>
      </c>
      <c r="F5" s="4" t="s">
        <v>53</v>
      </c>
      <c r="G5" s="32" t="s">
        <v>54</v>
      </c>
      <c r="H5" s="32" t="s">
        <v>54</v>
      </c>
      <c r="I5" s="32" t="s">
        <v>54</v>
      </c>
      <c r="J5" s="32" t="s">
        <v>54</v>
      </c>
      <c r="K5" s="32"/>
      <c r="L5" s="32" t="s">
        <v>54</v>
      </c>
      <c r="M5" s="33"/>
      <c r="N5" s="33"/>
      <c r="O5" s="33"/>
      <c r="P5" s="33"/>
      <c r="Q5" s="32" t="s">
        <v>54</v>
      </c>
      <c r="R5" s="32"/>
      <c r="S5" s="33"/>
      <c r="T5" s="33"/>
      <c r="U5" s="33"/>
      <c r="V5" s="33"/>
      <c r="W5" s="33"/>
      <c r="X5" s="33"/>
      <c r="Y5" s="33"/>
      <c r="Z5" s="33"/>
      <c r="AA5" s="33"/>
      <c r="AB5" s="33"/>
      <c r="AC5" s="33"/>
      <c r="AD5" s="33"/>
      <c r="AE5" s="33"/>
      <c r="AF5" s="33"/>
      <c r="AG5" s="24" t="s">
        <v>61</v>
      </c>
      <c r="AH5" s="35" t="s">
        <v>56</v>
      </c>
      <c r="AI5" s="7" t="s">
        <v>57</v>
      </c>
      <c r="AJ5" s="7"/>
      <c r="AK5" s="30" t="s">
        <v>58</v>
      </c>
      <c r="AL5" s="30" t="s">
        <v>58</v>
      </c>
      <c r="AM5" s="8"/>
      <c r="AN5" s="9"/>
      <c r="AO5" s="10"/>
      <c r="AP5" s="10"/>
      <c r="AQ5" s="10"/>
      <c r="AR5" s="10"/>
      <c r="AS5" s="10"/>
      <c r="AT5" s="10"/>
      <c r="AU5" s="10"/>
      <c r="AV5" s="10"/>
      <c r="AW5" s="10"/>
      <c r="AX5" s="10"/>
      <c r="AY5" s="10"/>
      <c r="AZ5" s="10"/>
      <c r="BA5" s="10"/>
      <c r="BB5" s="10"/>
    </row>
    <row r="6" spans="1:54" ht="81" customHeight="1">
      <c r="A6" s="4" t="s">
        <v>48</v>
      </c>
      <c r="B6" s="40" t="s">
        <v>49</v>
      </c>
      <c r="C6" s="5" t="s">
        <v>62</v>
      </c>
      <c r="D6" s="6" t="s">
        <v>63</v>
      </c>
      <c r="E6" s="37" t="s">
        <v>52</v>
      </c>
      <c r="F6" s="4" t="s">
        <v>53</v>
      </c>
      <c r="G6" s="32" t="s">
        <v>54</v>
      </c>
      <c r="H6" s="32" t="s">
        <v>54</v>
      </c>
      <c r="I6" s="32"/>
      <c r="J6" s="32"/>
      <c r="K6" s="32" t="s">
        <v>54</v>
      </c>
      <c r="L6" s="32"/>
      <c r="M6" s="33"/>
      <c r="N6" s="33"/>
      <c r="O6" s="33"/>
      <c r="P6" s="33"/>
      <c r="Q6" s="32"/>
      <c r="R6" s="32" t="s">
        <v>54</v>
      </c>
      <c r="S6" s="32" t="s">
        <v>54</v>
      </c>
      <c r="T6" s="32"/>
      <c r="U6" s="33"/>
      <c r="V6" s="33"/>
      <c r="W6" s="33"/>
      <c r="X6" s="33"/>
      <c r="Y6" s="33"/>
      <c r="Z6" s="33"/>
      <c r="AA6" s="33"/>
      <c r="AB6" s="33"/>
      <c r="AC6" s="33"/>
      <c r="AD6" s="33"/>
      <c r="AE6" s="33"/>
      <c r="AF6" s="33"/>
      <c r="AG6" s="24" t="s">
        <v>55</v>
      </c>
      <c r="AH6" s="8" t="s">
        <v>64</v>
      </c>
      <c r="AI6" s="7" t="s">
        <v>57</v>
      </c>
      <c r="AJ6" s="34"/>
      <c r="AK6" s="30" t="s">
        <v>58</v>
      </c>
      <c r="AL6" s="30" t="s">
        <v>58</v>
      </c>
      <c r="AM6" s="8"/>
      <c r="AN6" s="9"/>
      <c r="AO6" s="10"/>
      <c r="AP6" s="10"/>
      <c r="AQ6" s="10"/>
      <c r="AR6" s="10"/>
      <c r="AS6" s="10"/>
      <c r="AT6" s="10"/>
      <c r="AU6" s="10"/>
      <c r="AV6" s="10"/>
      <c r="AW6" s="10"/>
      <c r="AX6" s="10"/>
      <c r="AY6" s="10"/>
      <c r="AZ6" s="10"/>
      <c r="BA6" s="10"/>
      <c r="BB6" s="10"/>
    </row>
    <row r="7" spans="1:54" ht="82.5" customHeight="1">
      <c r="A7" s="4" t="s">
        <v>48</v>
      </c>
      <c r="B7" s="40" t="s">
        <v>49</v>
      </c>
      <c r="C7" s="5" t="s">
        <v>65</v>
      </c>
      <c r="D7" s="6" t="s">
        <v>66</v>
      </c>
      <c r="E7" s="37" t="s">
        <v>52</v>
      </c>
      <c r="F7" s="4" t="s">
        <v>53</v>
      </c>
      <c r="G7" s="32" t="s">
        <v>54</v>
      </c>
      <c r="H7" s="32" t="s">
        <v>54</v>
      </c>
      <c r="I7" s="32"/>
      <c r="J7" s="32"/>
      <c r="K7" s="32" t="s">
        <v>54</v>
      </c>
      <c r="L7" s="32"/>
      <c r="M7" s="33"/>
      <c r="N7" s="33"/>
      <c r="O7" s="33"/>
      <c r="P7" s="33"/>
      <c r="Q7" s="32"/>
      <c r="R7" s="32" t="s">
        <v>54</v>
      </c>
      <c r="S7" s="32"/>
      <c r="T7" s="32" t="s">
        <v>54</v>
      </c>
      <c r="U7" s="33"/>
      <c r="V7" s="33"/>
      <c r="W7" s="33"/>
      <c r="X7" s="33"/>
      <c r="Y7" s="33"/>
      <c r="Z7" s="33"/>
      <c r="AA7" s="33"/>
      <c r="AB7" s="33"/>
      <c r="AC7" s="33"/>
      <c r="AD7" s="33"/>
      <c r="AE7" s="33"/>
      <c r="AF7" s="33"/>
      <c r="AG7" s="24" t="s">
        <v>55</v>
      </c>
      <c r="AH7" s="36" t="s">
        <v>67</v>
      </c>
      <c r="AI7" s="7" t="s">
        <v>57</v>
      </c>
      <c r="AJ7" s="7"/>
      <c r="AK7" s="30" t="s">
        <v>58</v>
      </c>
      <c r="AL7" s="30" t="s">
        <v>58</v>
      </c>
      <c r="AM7" s="8"/>
      <c r="AN7" s="9"/>
      <c r="AO7" s="10"/>
      <c r="AP7" s="10"/>
      <c r="AQ7" s="10"/>
      <c r="AR7" s="10"/>
      <c r="AS7" s="10"/>
      <c r="AT7" s="10"/>
      <c r="AU7" s="10"/>
      <c r="AV7" s="10"/>
      <c r="AW7" s="10"/>
      <c r="AX7" s="10"/>
      <c r="AY7" s="10"/>
      <c r="AZ7" s="10"/>
      <c r="BA7" s="10"/>
      <c r="BB7" s="10"/>
    </row>
    <row r="8" spans="1:54" ht="111" customHeight="1">
      <c r="A8" s="4" t="s">
        <v>48</v>
      </c>
      <c r="B8" s="40" t="s">
        <v>49</v>
      </c>
      <c r="C8" s="5" t="s">
        <v>68</v>
      </c>
      <c r="D8" s="6" t="s">
        <v>69</v>
      </c>
      <c r="E8" s="37" t="s">
        <v>52</v>
      </c>
      <c r="F8" s="4" t="s">
        <v>53</v>
      </c>
      <c r="G8" s="32" t="s">
        <v>54</v>
      </c>
      <c r="H8" s="32" t="s">
        <v>54</v>
      </c>
      <c r="I8" s="32" t="s">
        <v>54</v>
      </c>
      <c r="J8" s="32" t="s">
        <v>54</v>
      </c>
      <c r="K8" s="32"/>
      <c r="L8" s="32" t="s">
        <v>54</v>
      </c>
      <c r="M8" s="33"/>
      <c r="N8" s="33"/>
      <c r="O8" s="33"/>
      <c r="P8" s="33"/>
      <c r="Q8" s="32"/>
      <c r="R8" s="32" t="s">
        <v>54</v>
      </c>
      <c r="S8" s="32" t="s">
        <v>54</v>
      </c>
      <c r="T8" s="32"/>
      <c r="U8" s="33"/>
      <c r="V8" s="33"/>
      <c r="W8" s="33"/>
      <c r="X8" s="33"/>
      <c r="Y8" s="33"/>
      <c r="Z8" s="33"/>
      <c r="AA8" s="33"/>
      <c r="AB8" s="33"/>
      <c r="AC8" s="33"/>
      <c r="AD8" s="33"/>
      <c r="AE8" s="33"/>
      <c r="AF8" s="33"/>
      <c r="AG8" s="24" t="s">
        <v>61</v>
      </c>
      <c r="AH8" s="8" t="s">
        <v>64</v>
      </c>
      <c r="AI8" s="7" t="s">
        <v>57</v>
      </c>
      <c r="AJ8" s="7"/>
      <c r="AK8" s="30" t="s">
        <v>58</v>
      </c>
      <c r="AL8" s="30" t="s">
        <v>58</v>
      </c>
      <c r="AM8" s="8"/>
      <c r="AN8" s="9"/>
      <c r="AO8" s="10"/>
      <c r="AP8" s="10"/>
      <c r="AQ8" s="10"/>
      <c r="AR8" s="10"/>
      <c r="AS8" s="10"/>
      <c r="AT8" s="10"/>
      <c r="AU8" s="10"/>
      <c r="AV8" s="10"/>
      <c r="AW8" s="10"/>
      <c r="AX8" s="10"/>
      <c r="AY8" s="10"/>
      <c r="AZ8" s="10"/>
      <c r="BA8" s="10"/>
      <c r="BB8" s="10"/>
    </row>
    <row r="9" spans="1:54" ht="117" customHeight="1">
      <c r="A9" s="4" t="s">
        <v>48</v>
      </c>
      <c r="B9" s="40" t="s">
        <v>49</v>
      </c>
      <c r="C9" s="5" t="s">
        <v>70</v>
      </c>
      <c r="D9" s="6" t="s">
        <v>71</v>
      </c>
      <c r="E9" s="37" t="s">
        <v>52</v>
      </c>
      <c r="F9" s="4" t="s">
        <v>53</v>
      </c>
      <c r="G9" s="32" t="s">
        <v>54</v>
      </c>
      <c r="H9" s="32" t="s">
        <v>54</v>
      </c>
      <c r="I9" s="32" t="s">
        <v>54</v>
      </c>
      <c r="J9" s="32" t="s">
        <v>54</v>
      </c>
      <c r="K9" s="32"/>
      <c r="L9" s="32" t="s">
        <v>54</v>
      </c>
      <c r="M9" s="33"/>
      <c r="N9" s="33"/>
      <c r="O9" s="33"/>
      <c r="P9" s="33"/>
      <c r="Q9" s="32"/>
      <c r="R9" s="32" t="s">
        <v>54</v>
      </c>
      <c r="S9" s="32"/>
      <c r="T9" s="32" t="s">
        <v>54</v>
      </c>
      <c r="U9" s="33"/>
      <c r="V9" s="33"/>
      <c r="W9" s="33"/>
      <c r="X9" s="33"/>
      <c r="Y9" s="33"/>
      <c r="Z9" s="33"/>
      <c r="AA9" s="33"/>
      <c r="AB9" s="33"/>
      <c r="AC9" s="33"/>
      <c r="AD9" s="33"/>
      <c r="AE9" s="33"/>
      <c r="AF9" s="33"/>
      <c r="AG9" s="24" t="s">
        <v>61</v>
      </c>
      <c r="AH9" s="36" t="s">
        <v>67</v>
      </c>
      <c r="AI9" s="7" t="s">
        <v>57</v>
      </c>
      <c r="AJ9" s="7"/>
      <c r="AK9" s="30" t="s">
        <v>58</v>
      </c>
      <c r="AL9" s="30" t="s">
        <v>58</v>
      </c>
      <c r="AM9" s="8"/>
      <c r="AN9" s="9"/>
      <c r="AO9" s="10"/>
      <c r="AP9" s="10"/>
      <c r="AQ9" s="10"/>
      <c r="AR9" s="10"/>
      <c r="AS9" s="10"/>
      <c r="AT9" s="10"/>
      <c r="AU9" s="10"/>
      <c r="AV9" s="10"/>
      <c r="AW9" s="10"/>
      <c r="AX9" s="10"/>
      <c r="AY9" s="10"/>
      <c r="AZ9" s="10"/>
      <c r="BA9" s="10"/>
      <c r="BB9" s="10"/>
    </row>
    <row r="10" spans="1:54" ht="151.5" customHeight="1">
      <c r="A10" s="4" t="s">
        <v>48</v>
      </c>
      <c r="B10" s="40" t="s">
        <v>49</v>
      </c>
      <c r="C10" s="5" t="s">
        <v>72</v>
      </c>
      <c r="D10" s="31" t="s">
        <v>73</v>
      </c>
      <c r="E10" s="37" t="s">
        <v>52</v>
      </c>
      <c r="F10" s="4" t="s">
        <v>53</v>
      </c>
      <c r="G10" s="32" t="s">
        <v>54</v>
      </c>
      <c r="H10" s="32" t="s">
        <v>54</v>
      </c>
      <c r="I10" s="32"/>
      <c r="J10" s="32"/>
      <c r="K10" s="32" t="s">
        <v>54</v>
      </c>
      <c r="L10" s="32"/>
      <c r="M10" s="33"/>
      <c r="N10" s="33"/>
      <c r="O10" s="33"/>
      <c r="P10" s="33"/>
      <c r="Q10" s="32"/>
      <c r="R10" s="32" t="s">
        <v>54</v>
      </c>
      <c r="S10" s="32"/>
      <c r="T10" s="32"/>
      <c r="U10" s="32" t="s">
        <v>54</v>
      </c>
      <c r="V10" s="32"/>
      <c r="W10" s="32" t="s">
        <v>54</v>
      </c>
      <c r="X10" s="32"/>
      <c r="Y10" s="32"/>
      <c r="Z10" s="32" t="s">
        <v>74</v>
      </c>
      <c r="AA10" s="32"/>
      <c r="AB10" s="32"/>
      <c r="AC10" s="32"/>
      <c r="AD10" s="32"/>
      <c r="AE10" s="32" t="s">
        <v>54</v>
      </c>
      <c r="AF10" s="32"/>
      <c r="AG10" s="24" t="s">
        <v>75</v>
      </c>
      <c r="AH10" s="6" t="s">
        <v>76</v>
      </c>
      <c r="AI10" s="7" t="s">
        <v>57</v>
      </c>
      <c r="AJ10" s="7"/>
      <c r="AK10" s="30" t="s">
        <v>58</v>
      </c>
      <c r="AL10" s="30" t="s">
        <v>58</v>
      </c>
      <c r="AM10" s="8" t="s">
        <v>77</v>
      </c>
      <c r="AN10" s="9"/>
      <c r="AO10" s="10"/>
      <c r="AP10" s="10"/>
      <c r="AQ10" s="10"/>
      <c r="AR10" s="10"/>
      <c r="AS10" s="10"/>
      <c r="AT10" s="10"/>
      <c r="AU10" s="10"/>
      <c r="AV10" s="10"/>
      <c r="AW10" s="10"/>
      <c r="AX10" s="10"/>
      <c r="AY10" s="10"/>
      <c r="AZ10" s="10"/>
      <c r="BA10" s="10"/>
      <c r="BB10" s="10"/>
    </row>
    <row r="11" spans="1:54" ht="168.75" customHeight="1">
      <c r="A11" s="4" t="s">
        <v>48</v>
      </c>
      <c r="B11" s="40" t="s">
        <v>49</v>
      </c>
      <c r="C11" s="5" t="s">
        <v>78</v>
      </c>
      <c r="D11" s="31" t="s">
        <v>79</v>
      </c>
      <c r="E11" s="38" t="s">
        <v>80</v>
      </c>
      <c r="F11" s="4" t="s">
        <v>53</v>
      </c>
      <c r="G11" s="32" t="s">
        <v>54</v>
      </c>
      <c r="H11" s="32" t="s">
        <v>54</v>
      </c>
      <c r="I11" s="32" t="s">
        <v>54</v>
      </c>
      <c r="J11" s="32" t="s">
        <v>54</v>
      </c>
      <c r="K11" s="32"/>
      <c r="L11" s="32" t="s">
        <v>54</v>
      </c>
      <c r="M11" s="33"/>
      <c r="N11" s="33"/>
      <c r="O11" s="33"/>
      <c r="P11" s="33"/>
      <c r="Q11" s="32"/>
      <c r="R11" s="32" t="s">
        <v>54</v>
      </c>
      <c r="S11" s="32"/>
      <c r="T11" s="32"/>
      <c r="U11" s="32" t="s">
        <v>74</v>
      </c>
      <c r="V11" s="32"/>
      <c r="W11" s="32" t="s">
        <v>54</v>
      </c>
      <c r="X11" s="32"/>
      <c r="Y11" s="32"/>
      <c r="Z11" s="32" t="s">
        <v>54</v>
      </c>
      <c r="AA11" s="32"/>
      <c r="AB11" s="32"/>
      <c r="AC11" s="32"/>
      <c r="AD11" s="32"/>
      <c r="AE11" s="32"/>
      <c r="AF11" s="32" t="s">
        <v>54</v>
      </c>
      <c r="AG11" s="24" t="s">
        <v>81</v>
      </c>
      <c r="AH11" s="6" t="s">
        <v>82</v>
      </c>
      <c r="AI11" s="7" t="s">
        <v>57</v>
      </c>
      <c r="AJ11" s="7"/>
      <c r="AK11" s="30" t="s">
        <v>58</v>
      </c>
      <c r="AL11" s="30" t="s">
        <v>58</v>
      </c>
      <c r="AM11" s="8" t="s">
        <v>77</v>
      </c>
      <c r="AN11" s="9"/>
      <c r="AO11" s="10"/>
      <c r="AP11" s="10"/>
      <c r="AQ11" s="10"/>
      <c r="AR11" s="10"/>
      <c r="AS11" s="10"/>
      <c r="AT11" s="10"/>
      <c r="AU11" s="10"/>
      <c r="AV11" s="10"/>
      <c r="AW11" s="10"/>
      <c r="AX11" s="10"/>
      <c r="AY11" s="10"/>
      <c r="AZ11" s="10"/>
      <c r="BA11" s="10"/>
      <c r="BB11" s="10"/>
    </row>
    <row r="12" spans="1:54" ht="141.75" customHeight="1">
      <c r="A12" s="4" t="s">
        <v>48</v>
      </c>
      <c r="B12" s="40" t="s">
        <v>49</v>
      </c>
      <c r="C12" s="5" t="s">
        <v>83</v>
      </c>
      <c r="D12" s="31" t="s">
        <v>84</v>
      </c>
      <c r="E12" s="37" t="s">
        <v>52</v>
      </c>
      <c r="F12" s="4" t="s">
        <v>53</v>
      </c>
      <c r="G12" s="32" t="s">
        <v>54</v>
      </c>
      <c r="H12" s="32" t="s">
        <v>54</v>
      </c>
      <c r="I12" s="32" t="s">
        <v>54</v>
      </c>
      <c r="J12" s="32" t="s">
        <v>54</v>
      </c>
      <c r="K12" s="32" t="s">
        <v>54</v>
      </c>
      <c r="L12" s="32"/>
      <c r="M12" s="33"/>
      <c r="N12" s="33"/>
      <c r="O12" s="33"/>
      <c r="P12" s="33"/>
      <c r="Q12" s="32"/>
      <c r="R12" s="32" t="s">
        <v>54</v>
      </c>
      <c r="S12" s="32"/>
      <c r="T12" s="32"/>
      <c r="U12" s="32" t="s">
        <v>54</v>
      </c>
      <c r="V12" s="32"/>
      <c r="W12" s="32" t="s">
        <v>54</v>
      </c>
      <c r="X12" s="32"/>
      <c r="Y12" s="32"/>
      <c r="Z12" s="32"/>
      <c r="AA12" s="32" t="s">
        <v>54</v>
      </c>
      <c r="AB12" s="32"/>
      <c r="AC12" s="32" t="s">
        <v>54</v>
      </c>
      <c r="AD12" s="32"/>
      <c r="AE12" s="32"/>
      <c r="AF12" s="32"/>
      <c r="AG12" s="24" t="s">
        <v>81</v>
      </c>
      <c r="AH12" s="6" t="s">
        <v>85</v>
      </c>
      <c r="AI12" s="7" t="s">
        <v>57</v>
      </c>
      <c r="AJ12" s="7"/>
      <c r="AK12" s="30" t="s">
        <v>58</v>
      </c>
      <c r="AL12" s="30" t="s">
        <v>58</v>
      </c>
      <c r="AM12" s="8" t="s">
        <v>77</v>
      </c>
      <c r="AN12" s="9"/>
      <c r="AO12" s="10"/>
      <c r="AP12" s="10"/>
      <c r="AQ12" s="10"/>
      <c r="AR12" s="10"/>
      <c r="AS12" s="10"/>
      <c r="AT12" s="10"/>
      <c r="AU12" s="10"/>
      <c r="AV12" s="10"/>
      <c r="AW12" s="10"/>
      <c r="AX12" s="10"/>
      <c r="AY12" s="10"/>
      <c r="AZ12" s="10"/>
      <c r="BA12" s="10"/>
      <c r="BB12" s="10"/>
    </row>
    <row r="13" spans="1:54" ht="173.25" customHeight="1">
      <c r="A13" s="4" t="s">
        <v>48</v>
      </c>
      <c r="B13" s="40" t="s">
        <v>49</v>
      </c>
      <c r="C13" s="5" t="s">
        <v>86</v>
      </c>
      <c r="D13" s="31" t="s">
        <v>87</v>
      </c>
      <c r="E13" s="38" t="s">
        <v>80</v>
      </c>
      <c r="F13" s="4" t="s">
        <v>53</v>
      </c>
      <c r="G13" s="32" t="s">
        <v>54</v>
      </c>
      <c r="H13" s="32" t="s">
        <v>54</v>
      </c>
      <c r="I13" s="32"/>
      <c r="J13" s="32"/>
      <c r="K13" s="32"/>
      <c r="L13" s="32" t="s">
        <v>54</v>
      </c>
      <c r="M13" s="33"/>
      <c r="N13" s="33"/>
      <c r="O13" s="33"/>
      <c r="P13" s="33"/>
      <c r="Q13" s="32"/>
      <c r="R13" s="32" t="s">
        <v>54</v>
      </c>
      <c r="S13" s="32"/>
      <c r="T13" s="32"/>
      <c r="U13" s="32" t="s">
        <v>54</v>
      </c>
      <c r="V13" s="32"/>
      <c r="W13" s="32" t="s">
        <v>54</v>
      </c>
      <c r="X13" s="32"/>
      <c r="Y13" s="32"/>
      <c r="Z13" s="32"/>
      <c r="AA13" s="32" t="s">
        <v>54</v>
      </c>
      <c r="AB13" s="32" t="s">
        <v>54</v>
      </c>
      <c r="AC13" s="32"/>
      <c r="AD13" s="32"/>
      <c r="AE13" s="32"/>
      <c r="AF13" s="32"/>
      <c r="AG13" s="24" t="s">
        <v>75</v>
      </c>
      <c r="AH13" s="6" t="s">
        <v>88</v>
      </c>
      <c r="AI13" s="7" t="s">
        <v>57</v>
      </c>
      <c r="AJ13" s="7"/>
      <c r="AK13" s="30" t="s">
        <v>58</v>
      </c>
      <c r="AL13" s="30" t="s">
        <v>58</v>
      </c>
      <c r="AM13" s="8" t="s">
        <v>77</v>
      </c>
      <c r="AN13" s="9"/>
      <c r="AO13" s="10"/>
      <c r="AP13" s="10"/>
      <c r="AQ13" s="10"/>
      <c r="AR13" s="10"/>
      <c r="AS13" s="10"/>
      <c r="AT13" s="10"/>
      <c r="AU13" s="10"/>
      <c r="AV13" s="10"/>
      <c r="AW13" s="10"/>
      <c r="AX13" s="10"/>
      <c r="AY13" s="10"/>
      <c r="AZ13" s="10"/>
      <c r="BA13" s="10"/>
      <c r="BB13" s="10"/>
    </row>
    <row r="14" spans="1:54" ht="140.25" customHeight="1">
      <c r="A14" s="4" t="s">
        <v>48</v>
      </c>
      <c r="B14" s="40" t="s">
        <v>49</v>
      </c>
      <c r="C14" s="5" t="s">
        <v>89</v>
      </c>
      <c r="D14" s="31" t="s">
        <v>90</v>
      </c>
      <c r="E14" s="38" t="s">
        <v>80</v>
      </c>
      <c r="F14" s="4" t="s">
        <v>53</v>
      </c>
      <c r="G14" s="32" t="s">
        <v>54</v>
      </c>
      <c r="H14" s="32" t="s">
        <v>54</v>
      </c>
      <c r="I14" s="32" t="s">
        <v>54</v>
      </c>
      <c r="J14" s="32" t="s">
        <v>54</v>
      </c>
      <c r="K14" s="32" t="s">
        <v>54</v>
      </c>
      <c r="L14" s="32"/>
      <c r="M14" s="33"/>
      <c r="N14" s="33"/>
      <c r="O14" s="33"/>
      <c r="P14" s="33"/>
      <c r="Q14" s="32"/>
      <c r="R14" s="32" t="s">
        <v>54</v>
      </c>
      <c r="S14" s="32"/>
      <c r="T14" s="32"/>
      <c r="U14" s="32" t="s">
        <v>54</v>
      </c>
      <c r="V14" s="32"/>
      <c r="W14" s="32" t="s">
        <v>54</v>
      </c>
      <c r="X14" s="32"/>
      <c r="Y14" s="32"/>
      <c r="Z14" s="32"/>
      <c r="AA14" s="32" t="s">
        <v>54</v>
      </c>
      <c r="AB14" s="32"/>
      <c r="AC14" s="32"/>
      <c r="AD14" s="32" t="s">
        <v>54</v>
      </c>
      <c r="AE14" s="32"/>
      <c r="AF14" s="32"/>
      <c r="AG14" s="24" t="s">
        <v>81</v>
      </c>
      <c r="AH14" s="6" t="s">
        <v>91</v>
      </c>
      <c r="AI14" s="7" t="s">
        <v>57</v>
      </c>
      <c r="AJ14" s="7"/>
      <c r="AK14" s="30" t="s">
        <v>58</v>
      </c>
      <c r="AL14" s="30" t="s">
        <v>58</v>
      </c>
      <c r="AM14" s="8" t="s">
        <v>77</v>
      </c>
      <c r="AN14" s="9"/>
      <c r="AO14" s="10"/>
      <c r="AP14" s="10"/>
      <c r="AQ14" s="10"/>
      <c r="AR14" s="10"/>
      <c r="AS14" s="10"/>
      <c r="AT14" s="10"/>
      <c r="AU14" s="10"/>
      <c r="AV14" s="10"/>
      <c r="AW14" s="10"/>
      <c r="AX14" s="10"/>
      <c r="AY14" s="10"/>
      <c r="AZ14" s="10"/>
      <c r="BA14" s="10"/>
      <c r="BB14" s="10"/>
    </row>
    <row r="15" spans="1:54" ht="128.25" customHeight="1">
      <c r="A15" s="4" t="s">
        <v>48</v>
      </c>
      <c r="B15" s="40" t="s">
        <v>49</v>
      </c>
      <c r="C15" s="5" t="s">
        <v>92</v>
      </c>
      <c r="D15" s="31" t="s">
        <v>93</v>
      </c>
      <c r="E15" s="38" t="s">
        <v>80</v>
      </c>
      <c r="F15" s="4" t="s">
        <v>53</v>
      </c>
      <c r="G15" s="32" t="s">
        <v>54</v>
      </c>
      <c r="H15" s="32" t="s">
        <v>54</v>
      </c>
      <c r="I15" s="32"/>
      <c r="J15" s="32"/>
      <c r="K15" s="32"/>
      <c r="L15" s="32" t="s">
        <v>54</v>
      </c>
      <c r="M15" s="33"/>
      <c r="N15" s="33"/>
      <c r="O15" s="33"/>
      <c r="P15" s="33"/>
      <c r="Q15" s="32"/>
      <c r="R15" s="32" t="s">
        <v>54</v>
      </c>
      <c r="S15" s="32"/>
      <c r="T15" s="32"/>
      <c r="U15" s="32" t="s">
        <v>54</v>
      </c>
      <c r="V15" s="32"/>
      <c r="W15" s="32"/>
      <c r="X15" s="32"/>
      <c r="Y15" s="32" t="s">
        <v>54</v>
      </c>
      <c r="Z15" s="32"/>
      <c r="AA15" s="32"/>
      <c r="AB15" s="32"/>
      <c r="AC15" s="32"/>
      <c r="AD15" s="32"/>
      <c r="AE15" s="32"/>
      <c r="AF15" s="32"/>
      <c r="AG15" s="24" t="s">
        <v>75</v>
      </c>
      <c r="AH15" s="11" t="s">
        <v>94</v>
      </c>
      <c r="AI15" s="7" t="s">
        <v>57</v>
      </c>
      <c r="AJ15" s="7"/>
      <c r="AK15" s="30" t="s">
        <v>58</v>
      </c>
      <c r="AL15" s="30" t="s">
        <v>58</v>
      </c>
      <c r="AM15" s="8" t="s">
        <v>77</v>
      </c>
      <c r="AN15" s="12"/>
      <c r="AO15" s="10"/>
      <c r="AP15" s="10"/>
      <c r="AQ15" s="10"/>
      <c r="AR15" s="10"/>
      <c r="AS15" s="10"/>
      <c r="AT15" s="10"/>
      <c r="AU15" s="10"/>
      <c r="AV15" s="10"/>
      <c r="AW15" s="10"/>
      <c r="AX15" s="10"/>
      <c r="AY15" s="10"/>
      <c r="AZ15" s="10"/>
      <c r="BA15" s="10"/>
      <c r="BB15" s="10"/>
    </row>
    <row r="16" spans="1:54" ht="117.75" customHeight="1">
      <c r="A16" s="4" t="s">
        <v>48</v>
      </c>
      <c r="B16" s="40" t="s">
        <v>49</v>
      </c>
      <c r="C16" s="5" t="s">
        <v>95</v>
      </c>
      <c r="D16" s="31" t="s">
        <v>96</v>
      </c>
      <c r="E16" s="38" t="s">
        <v>80</v>
      </c>
      <c r="F16" s="4" t="s">
        <v>53</v>
      </c>
      <c r="G16" s="32" t="s">
        <v>54</v>
      </c>
      <c r="H16" s="32" t="s">
        <v>54</v>
      </c>
      <c r="I16" s="32" t="s">
        <v>54</v>
      </c>
      <c r="J16" s="32" t="s">
        <v>54</v>
      </c>
      <c r="K16" s="32"/>
      <c r="L16" s="32" t="s">
        <v>54</v>
      </c>
      <c r="M16" s="33"/>
      <c r="N16" s="33"/>
      <c r="O16" s="33"/>
      <c r="P16" s="33"/>
      <c r="Q16" s="32"/>
      <c r="R16" s="32" t="s">
        <v>54</v>
      </c>
      <c r="S16" s="32"/>
      <c r="T16" s="32"/>
      <c r="U16" s="32" t="s">
        <v>54</v>
      </c>
      <c r="V16" s="32"/>
      <c r="W16" s="32"/>
      <c r="X16" s="32" t="s">
        <v>54</v>
      </c>
      <c r="Y16" s="32"/>
      <c r="Z16" s="32"/>
      <c r="AA16" s="32"/>
      <c r="AB16" s="32"/>
      <c r="AC16" s="32"/>
      <c r="AD16" s="32"/>
      <c r="AE16" s="32"/>
      <c r="AF16" s="32"/>
      <c r="AG16" s="24" t="s">
        <v>81</v>
      </c>
      <c r="AH16" s="6" t="s">
        <v>97</v>
      </c>
      <c r="AI16" s="7" t="s">
        <v>57</v>
      </c>
      <c r="AJ16" s="7"/>
      <c r="AK16" s="30" t="s">
        <v>58</v>
      </c>
      <c r="AL16" s="30" t="s">
        <v>58</v>
      </c>
      <c r="AM16" s="8" t="s">
        <v>77</v>
      </c>
      <c r="AN16" s="12"/>
      <c r="AO16" s="10"/>
      <c r="AP16" s="10"/>
      <c r="AQ16" s="10"/>
      <c r="AR16" s="10"/>
      <c r="AS16" s="10"/>
      <c r="AT16" s="10"/>
      <c r="AU16" s="10"/>
      <c r="AV16" s="10"/>
      <c r="AW16" s="10"/>
      <c r="AX16" s="10"/>
      <c r="AY16" s="10"/>
      <c r="AZ16" s="10"/>
      <c r="BA16" s="10"/>
      <c r="BB16" s="10"/>
    </row>
    <row r="17" spans="1:54" ht="104.25" customHeight="1">
      <c r="A17" s="4" t="s">
        <v>48</v>
      </c>
      <c r="B17" s="40" t="s">
        <v>49</v>
      </c>
      <c r="C17" s="5" t="s">
        <v>98</v>
      </c>
      <c r="D17" s="31" t="s">
        <v>99</v>
      </c>
      <c r="E17" s="38" t="s">
        <v>80</v>
      </c>
      <c r="F17" s="4" t="s">
        <v>53</v>
      </c>
      <c r="G17" s="32" t="s">
        <v>54</v>
      </c>
      <c r="H17" s="32" t="s">
        <v>54</v>
      </c>
      <c r="I17" s="32" t="s">
        <v>54</v>
      </c>
      <c r="J17" s="32" t="s">
        <v>54</v>
      </c>
      <c r="K17" s="32"/>
      <c r="L17" s="32" t="s">
        <v>54</v>
      </c>
      <c r="M17" s="33"/>
      <c r="N17" s="33"/>
      <c r="O17" s="33"/>
      <c r="P17" s="33"/>
      <c r="Q17" s="32"/>
      <c r="R17" s="32" t="s">
        <v>54</v>
      </c>
      <c r="S17" s="32"/>
      <c r="T17" s="32"/>
      <c r="U17" s="32"/>
      <c r="V17" s="32" t="s">
        <v>54</v>
      </c>
      <c r="W17" s="32"/>
      <c r="X17" s="32"/>
      <c r="Y17" s="32"/>
      <c r="Z17" s="32"/>
      <c r="AA17" s="32"/>
      <c r="AB17" s="32"/>
      <c r="AC17" s="32"/>
      <c r="AD17" s="32"/>
      <c r="AE17" s="32"/>
      <c r="AF17" s="32"/>
      <c r="AG17" s="24" t="s">
        <v>81</v>
      </c>
      <c r="AH17" s="6" t="s">
        <v>100</v>
      </c>
      <c r="AI17" s="7" t="s">
        <v>57</v>
      </c>
      <c r="AJ17" s="7"/>
      <c r="AK17" s="30" t="s">
        <v>58</v>
      </c>
      <c r="AL17" s="30" t="s">
        <v>58</v>
      </c>
      <c r="AM17" s="8" t="s">
        <v>77</v>
      </c>
      <c r="AN17" s="12"/>
      <c r="AO17" s="10"/>
      <c r="AP17" s="10"/>
      <c r="AQ17" s="10"/>
      <c r="AR17" s="10"/>
      <c r="AS17" s="10"/>
      <c r="AT17" s="10"/>
      <c r="AU17" s="10"/>
      <c r="AV17" s="10"/>
      <c r="AW17" s="10"/>
      <c r="AX17" s="10"/>
      <c r="AY17" s="10"/>
      <c r="AZ17" s="10"/>
      <c r="BA17" s="10"/>
      <c r="BB17" s="10"/>
    </row>
    <row r="18" spans="1:54" ht="15.75" customHeight="1">
      <c r="A18" s="39"/>
      <c r="B18" s="13"/>
      <c r="C18" s="13"/>
      <c r="D18" s="13"/>
      <c r="E18" s="13"/>
      <c r="F18" s="39"/>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4"/>
      <c r="AK18" s="15"/>
      <c r="AL18" s="15"/>
      <c r="AM18" s="13"/>
      <c r="AN18" s="13"/>
      <c r="AO18" s="13"/>
      <c r="AP18" s="13"/>
      <c r="AQ18" s="13"/>
      <c r="AR18" s="13"/>
      <c r="AS18" s="13"/>
      <c r="AT18" s="13"/>
      <c r="AU18" s="13"/>
      <c r="AV18" s="13"/>
      <c r="AW18" s="13"/>
      <c r="AX18" s="13"/>
      <c r="AY18" s="13"/>
      <c r="AZ18" s="13"/>
      <c r="BA18" s="13"/>
      <c r="BB18" s="13"/>
    </row>
    <row r="19" spans="1:54" ht="15.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6" t="s">
        <v>101</v>
      </c>
      <c r="AK19" s="17"/>
      <c r="AL19" s="17"/>
      <c r="AM19" s="13"/>
      <c r="AN19" s="13"/>
      <c r="AO19" s="13"/>
      <c r="AP19" s="13"/>
      <c r="AQ19" s="13"/>
      <c r="AR19" s="13"/>
      <c r="AS19" s="13"/>
      <c r="AT19" s="13"/>
      <c r="AU19" s="13"/>
      <c r="AV19" s="13"/>
      <c r="AW19" s="13"/>
      <c r="AX19" s="13"/>
      <c r="AY19" s="13"/>
      <c r="AZ19" s="13"/>
      <c r="BA19" s="13"/>
      <c r="BB19" s="13"/>
    </row>
    <row r="20" spans="1:54" ht="15.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8"/>
      <c r="AK20" s="19"/>
      <c r="AL20" s="19"/>
      <c r="AM20" s="13"/>
      <c r="AN20" s="13"/>
      <c r="AO20" s="13"/>
      <c r="AP20" s="13"/>
      <c r="AQ20" s="13"/>
      <c r="AR20" s="13"/>
      <c r="AS20" s="13"/>
      <c r="AT20" s="13"/>
      <c r="AU20" s="13"/>
      <c r="AV20" s="13"/>
      <c r="AW20" s="13"/>
      <c r="AX20" s="13"/>
      <c r="AY20" s="13"/>
      <c r="AZ20" s="13"/>
      <c r="BA20" s="13"/>
      <c r="BB20" s="13"/>
    </row>
    <row r="21" spans="1:54"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8"/>
      <c r="AK21" s="20" t="s">
        <v>102</v>
      </c>
      <c r="AL21" s="20" t="s">
        <v>103</v>
      </c>
      <c r="AM21" s="13"/>
      <c r="AN21" s="13"/>
      <c r="AO21" s="13"/>
      <c r="AP21" s="13"/>
      <c r="AQ21" s="13"/>
      <c r="AR21" s="13"/>
      <c r="AS21" s="13"/>
      <c r="AT21" s="13"/>
      <c r="AU21" s="13"/>
      <c r="AV21" s="13"/>
      <c r="AW21" s="13"/>
      <c r="AX21" s="13"/>
      <c r="AY21" s="13"/>
      <c r="AZ21" s="13"/>
      <c r="BA21" s="13"/>
      <c r="BB21" s="13"/>
    </row>
    <row r="22" spans="1:54"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21" t="s">
        <v>58</v>
      </c>
      <c r="AK22" s="25">
        <f>COUNTIF(AK4:AK17,"Not Start")</f>
        <v>14</v>
      </c>
      <c r="AL22" s="25">
        <f>COUNTIF(AL4:AL17,"Not Start")</f>
        <v>14</v>
      </c>
      <c r="AM22" s="13"/>
      <c r="AN22" s="13"/>
      <c r="AO22" s="13"/>
      <c r="AP22" s="13"/>
      <c r="AQ22" s="13"/>
      <c r="AR22" s="13"/>
      <c r="AS22" s="13"/>
      <c r="AT22" s="13"/>
      <c r="AU22" s="13"/>
      <c r="AV22" s="13"/>
      <c r="AW22" s="13"/>
      <c r="AX22" s="13"/>
      <c r="AY22" s="13"/>
      <c r="AZ22" s="13"/>
      <c r="BA22" s="13"/>
      <c r="BB22" s="13"/>
    </row>
    <row r="23" spans="1:54"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21" t="s">
        <v>104</v>
      </c>
      <c r="AK23" s="25">
        <f>COUNTIF(AK4:AK17,"Inprogress")</f>
        <v>0</v>
      </c>
      <c r="AL23" s="25">
        <f>COUNTIF(AL4:AL17,"Inprogress")</f>
        <v>0</v>
      </c>
      <c r="AM23" s="13"/>
      <c r="AN23" s="13"/>
      <c r="AO23" s="13"/>
      <c r="AP23" s="13"/>
      <c r="AQ23" s="13"/>
      <c r="AR23" s="13"/>
      <c r="AS23" s="13"/>
      <c r="AT23" s="13"/>
      <c r="AU23" s="13"/>
      <c r="AV23" s="13"/>
      <c r="AW23" s="13"/>
      <c r="AX23" s="13"/>
      <c r="AY23" s="13"/>
      <c r="AZ23" s="13"/>
      <c r="BA23" s="13"/>
      <c r="BB23" s="13"/>
    </row>
    <row r="24" spans="1:5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21" t="s">
        <v>105</v>
      </c>
      <c r="AK24" s="25">
        <f>COUNTIF(AK4:AK17,"Skip")</f>
        <v>0</v>
      </c>
      <c r="AL24" s="25">
        <f>COUNTIF(AL4:AL17,"Skip")</f>
        <v>0</v>
      </c>
      <c r="AM24" s="13"/>
      <c r="AN24" s="13"/>
      <c r="AO24" s="13"/>
      <c r="AP24" s="13"/>
      <c r="AQ24" s="13"/>
      <c r="AR24" s="13"/>
      <c r="AS24" s="13"/>
      <c r="AT24" s="13"/>
      <c r="AU24" s="13"/>
      <c r="AV24" s="13"/>
      <c r="AW24" s="13"/>
      <c r="AX24" s="13"/>
      <c r="AY24" s="13"/>
      <c r="AZ24" s="13"/>
      <c r="BA24" s="13"/>
      <c r="BB24" s="13"/>
    </row>
    <row r="25" spans="1:54"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21" t="s">
        <v>106</v>
      </c>
      <c r="AK25" s="25">
        <f>COUNTIF(AK4:AK17,"Fail")</f>
        <v>0</v>
      </c>
      <c r="AL25" s="25">
        <f>COUNTIF(AL4:AL17,"Fail")</f>
        <v>0</v>
      </c>
      <c r="AM25" s="13"/>
      <c r="AN25" s="13"/>
      <c r="AO25" s="13"/>
      <c r="AP25" s="13"/>
      <c r="AQ25" s="13"/>
      <c r="AR25" s="13"/>
      <c r="AS25" s="13"/>
      <c r="AT25" s="13"/>
      <c r="AU25" s="13"/>
      <c r="AV25" s="13"/>
      <c r="AW25" s="13"/>
      <c r="AX25" s="13"/>
      <c r="AY25" s="13"/>
      <c r="AZ25" s="13"/>
      <c r="BA25" s="13"/>
      <c r="BB25" s="13"/>
    </row>
    <row r="26" spans="1:54"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21" t="s">
        <v>29</v>
      </c>
      <c r="AK26" s="22">
        <f>COUNTIF(AK4:AK17,"Passed")</f>
        <v>0</v>
      </c>
      <c r="AL26" s="22">
        <f>COUNTIF(AL4:AL17,"Passed")</f>
        <v>0</v>
      </c>
      <c r="AM26" s="13"/>
      <c r="AN26" s="13"/>
      <c r="AO26" s="13"/>
      <c r="AP26" s="13"/>
      <c r="AQ26" s="13"/>
      <c r="AR26" s="13"/>
      <c r="AS26" s="13"/>
      <c r="AT26" s="13"/>
      <c r="AU26" s="13"/>
      <c r="AV26" s="13"/>
      <c r="AW26" s="13"/>
      <c r="AX26" s="13"/>
      <c r="AY26" s="13"/>
      <c r="AZ26" s="13"/>
      <c r="BA26" s="13"/>
      <c r="BB26" s="13"/>
    </row>
    <row r="27" spans="1:54"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8"/>
      <c r="AK27" s="18"/>
      <c r="AL27" s="18"/>
      <c r="AM27" s="13"/>
      <c r="AN27" s="13"/>
      <c r="AO27" s="13"/>
      <c r="AP27" s="13"/>
      <c r="AQ27" s="13"/>
      <c r="AR27" s="13"/>
      <c r="AS27" s="13"/>
      <c r="AT27" s="13"/>
      <c r="AU27" s="13"/>
      <c r="AV27" s="13"/>
      <c r="AW27" s="13"/>
      <c r="AX27" s="13"/>
      <c r="AY27" s="13"/>
      <c r="AZ27" s="13"/>
      <c r="BA27" s="13"/>
      <c r="BB27" s="13"/>
    </row>
    <row r="28" spans="1:54"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8"/>
      <c r="AK28" s="20" t="s">
        <v>102</v>
      </c>
      <c r="AL28" s="20" t="s">
        <v>103</v>
      </c>
      <c r="AM28" s="13"/>
      <c r="AN28" s="13"/>
      <c r="AO28" s="13"/>
      <c r="AP28" s="13"/>
      <c r="AQ28" s="13"/>
      <c r="AR28" s="13"/>
      <c r="AS28" s="13"/>
      <c r="AT28" s="13"/>
      <c r="AU28" s="13"/>
      <c r="AV28" s="13"/>
      <c r="AW28" s="13"/>
      <c r="AX28" s="13"/>
      <c r="AY28" s="13"/>
      <c r="AZ28" s="13"/>
      <c r="BA28" s="13"/>
      <c r="BB28" s="13"/>
    </row>
    <row r="29" spans="1:54"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21" t="s">
        <v>107</v>
      </c>
      <c r="AK29" s="26">
        <f t="shared" ref="AK29:AL29" si="0">AK26/(AK26+AK22+AK23+AK25)</f>
        <v>0</v>
      </c>
      <c r="AL29" s="26">
        <f t="shared" si="0"/>
        <v>0</v>
      </c>
      <c r="AM29" s="13"/>
      <c r="AN29" s="13"/>
      <c r="AO29" s="13"/>
      <c r="AP29" s="13"/>
      <c r="AQ29" s="13"/>
      <c r="AR29" s="13"/>
      <c r="AS29" s="13"/>
      <c r="AT29" s="13"/>
      <c r="AU29" s="13"/>
      <c r="AV29" s="13"/>
      <c r="AW29" s="13"/>
      <c r="AX29" s="13"/>
      <c r="AY29" s="13"/>
      <c r="AZ29" s="13"/>
      <c r="BA29" s="13"/>
      <c r="BB29" s="13"/>
    </row>
    <row r="30" spans="1:54"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row>
    <row r="31" spans="1:54" ht="15.75" customHeight="1">
      <c r="A31" s="13"/>
      <c r="B31" s="13"/>
      <c r="C31" s="13"/>
      <c r="D31" s="13"/>
      <c r="E31" s="23"/>
      <c r="F31" s="2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row>
    <row r="32" spans="1:54" ht="15.75" customHeight="1">
      <c r="A32" s="13"/>
      <c r="B32" s="13"/>
      <c r="C32" s="13"/>
      <c r="D32" s="13"/>
      <c r="E32" s="23"/>
      <c r="F32" s="2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row>
    <row r="33" spans="1:54" ht="15.75" customHeight="1">
      <c r="A33" s="13"/>
      <c r="B33" s="13"/>
      <c r="C33" s="13"/>
      <c r="D33" s="13"/>
      <c r="E33" s="23"/>
      <c r="F33" s="2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row>
    <row r="34" spans="1:54" ht="15.75" customHeight="1">
      <c r="A34" s="13"/>
      <c r="B34" s="13"/>
      <c r="C34" s="13"/>
      <c r="D34" s="13"/>
      <c r="E34" s="23"/>
      <c r="F34" s="2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row>
    <row r="35" spans="1:54" ht="15.75" customHeight="1">
      <c r="A35" s="13"/>
      <c r="B35" s="13"/>
      <c r="C35" s="13"/>
      <c r="D35" s="13"/>
      <c r="E35" s="23"/>
      <c r="F35" s="2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row>
    <row r="36" spans="1:54" ht="15.75" customHeight="1">
      <c r="A36" s="13"/>
      <c r="B36" s="13"/>
      <c r="C36" s="13"/>
      <c r="D36" s="13"/>
      <c r="E36" s="23"/>
      <c r="F36" s="2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row>
    <row r="37" spans="1:54" ht="15.75" customHeight="1">
      <c r="A37" s="13"/>
      <c r="B37" s="13"/>
      <c r="C37" s="13"/>
      <c r="D37" s="13"/>
      <c r="E37" s="23"/>
      <c r="F37" s="2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row>
    <row r="38" spans="1:54" ht="15.75" customHeight="1">
      <c r="A38" s="13"/>
      <c r="B38" s="13"/>
      <c r="C38" s="13"/>
      <c r="D38" s="13"/>
      <c r="E38" s="23"/>
      <c r="F38" s="2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row>
    <row r="39" spans="1:54" ht="15.75" customHeight="1">
      <c r="A39" s="13"/>
      <c r="B39" s="13"/>
      <c r="C39" s="13"/>
      <c r="D39" s="13"/>
      <c r="E39" s="23"/>
      <c r="F39" s="2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row>
    <row r="40" spans="1:54" ht="15.75" customHeight="1">
      <c r="A40" s="13"/>
      <c r="B40" s="13"/>
      <c r="C40" s="13"/>
      <c r="D40" s="13"/>
      <c r="E40" s="23"/>
      <c r="F40" s="2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row>
    <row r="41" spans="1:54" ht="15.75" customHeight="1">
      <c r="A41" s="13"/>
      <c r="B41" s="13"/>
      <c r="C41" s="13"/>
      <c r="D41" s="13"/>
      <c r="E41" s="23"/>
      <c r="F41" s="2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row>
    <row r="42" spans="1:54" ht="15.75" customHeight="1">
      <c r="A42" s="13"/>
      <c r="B42" s="13"/>
      <c r="C42" s="13"/>
      <c r="D42" s="13"/>
      <c r="E42" s="23"/>
      <c r="F42" s="2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row>
    <row r="43" spans="1:54" ht="15.75" customHeight="1">
      <c r="A43" s="13"/>
      <c r="B43" s="13"/>
      <c r="C43" s="13"/>
      <c r="D43" s="13"/>
      <c r="E43" s="23"/>
      <c r="F43" s="2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row>
    <row r="44" spans="1:54" ht="15.75" customHeight="1">
      <c r="A44" s="13"/>
      <c r="B44" s="13"/>
      <c r="C44" s="13"/>
      <c r="D44" s="13"/>
      <c r="E44" s="23"/>
      <c r="F44" s="2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row>
    <row r="45" spans="1:54" ht="15.75" customHeight="1">
      <c r="A45" s="13"/>
      <c r="B45" s="13"/>
      <c r="C45" s="13"/>
      <c r="D45" s="13"/>
      <c r="E45" s="23"/>
      <c r="F45" s="2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row>
    <row r="46" spans="1:54" ht="15.75" customHeight="1">
      <c r="A46" s="13"/>
      <c r="B46" s="13"/>
      <c r="C46" s="13"/>
      <c r="D46" s="13"/>
      <c r="E46" s="23"/>
      <c r="F46" s="2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row>
    <row r="47" spans="1:54" ht="15.75" customHeight="1">
      <c r="A47" s="13"/>
      <c r="B47" s="13"/>
      <c r="C47" s="13"/>
      <c r="D47" s="13"/>
      <c r="E47" s="23"/>
      <c r="F47" s="2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row>
    <row r="48" spans="1:54" ht="15.75" customHeight="1">
      <c r="A48" s="13"/>
      <c r="B48" s="13"/>
      <c r="C48" s="13"/>
      <c r="D48" s="13"/>
      <c r="E48" s="23"/>
      <c r="F48" s="2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row>
    <row r="49" spans="1:54" ht="15.75" customHeight="1">
      <c r="A49" s="13"/>
      <c r="B49" s="13"/>
      <c r="C49" s="13"/>
      <c r="D49" s="13"/>
      <c r="E49" s="23"/>
      <c r="F49" s="2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row>
    <row r="50" spans="1:54" ht="15.75" customHeight="1">
      <c r="A50" s="13"/>
      <c r="B50" s="13"/>
      <c r="C50" s="13"/>
      <c r="D50" s="13"/>
      <c r="E50" s="23"/>
      <c r="F50" s="2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row>
    <row r="51" spans="1:54" ht="15.75" customHeight="1">
      <c r="A51" s="13"/>
      <c r="B51" s="13"/>
      <c r="C51" s="13"/>
      <c r="D51" s="13"/>
      <c r="E51" s="23"/>
      <c r="F51" s="2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row>
    <row r="52" spans="1:54" ht="15.75" customHeight="1">
      <c r="A52" s="13"/>
      <c r="B52" s="13"/>
      <c r="C52" s="13"/>
      <c r="D52" s="13"/>
      <c r="E52" s="23"/>
      <c r="F52" s="2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row>
    <row r="53" spans="1:54" ht="15.75" customHeight="1">
      <c r="A53" s="13"/>
      <c r="B53" s="13"/>
      <c r="C53" s="13"/>
      <c r="D53" s="13"/>
      <c r="E53" s="23"/>
      <c r="F53" s="2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row>
    <row r="54" spans="1:54" ht="15.75" customHeight="1">
      <c r="A54" s="13"/>
      <c r="B54" s="13"/>
      <c r="C54" s="13"/>
      <c r="D54" s="13"/>
      <c r="E54" s="23"/>
      <c r="F54" s="2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row>
    <row r="55" spans="1:54" ht="15.75" customHeight="1">
      <c r="A55" s="13"/>
      <c r="B55" s="13"/>
      <c r="C55" s="13"/>
      <c r="D55" s="13"/>
      <c r="E55" s="23"/>
      <c r="F55" s="2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row>
    <row r="56" spans="1:54" ht="15.75" customHeight="1">
      <c r="A56" s="13"/>
      <c r="B56" s="13"/>
      <c r="C56" s="13"/>
      <c r="D56" s="13"/>
      <c r="E56" s="23"/>
      <c r="F56" s="2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row>
    <row r="57" spans="1:54" ht="15.75" customHeight="1">
      <c r="A57" s="13"/>
      <c r="B57" s="13"/>
      <c r="C57" s="13"/>
      <c r="D57" s="13"/>
      <c r="E57" s="23"/>
      <c r="F57" s="2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row>
    <row r="58" spans="1:54" ht="15.75" customHeight="1">
      <c r="A58" s="13"/>
      <c r="B58" s="13"/>
      <c r="C58" s="13"/>
      <c r="D58" s="13"/>
      <c r="E58" s="23"/>
      <c r="F58" s="2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row>
    <row r="59" spans="1:54" ht="15.75" customHeight="1">
      <c r="A59" s="13"/>
      <c r="B59" s="13"/>
      <c r="C59" s="13"/>
      <c r="D59" s="13"/>
      <c r="E59" s="23"/>
      <c r="F59" s="2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row>
    <row r="60" spans="1:54" ht="15.75" customHeight="1">
      <c r="A60" s="13"/>
      <c r="B60" s="13"/>
      <c r="C60" s="13"/>
      <c r="D60" s="13"/>
      <c r="E60" s="23"/>
      <c r="F60" s="2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row>
    <row r="61" spans="1:54" ht="15.75" customHeight="1">
      <c r="A61" s="13"/>
      <c r="B61" s="13"/>
      <c r="C61" s="13"/>
      <c r="D61" s="13"/>
      <c r="E61" s="23"/>
      <c r="F61" s="2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row>
    <row r="62" spans="1:54" ht="15.75" customHeight="1">
      <c r="A62" s="13"/>
      <c r="B62" s="13"/>
      <c r="C62" s="13"/>
      <c r="D62" s="13"/>
      <c r="E62" s="23"/>
      <c r="F62" s="2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row>
    <row r="63" spans="1:54" ht="15.75" customHeight="1">
      <c r="A63" s="13"/>
      <c r="B63" s="13"/>
      <c r="C63" s="13"/>
      <c r="D63" s="13"/>
      <c r="E63" s="23"/>
      <c r="F63" s="2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row>
    <row r="64" spans="1:54" ht="15.75" customHeight="1">
      <c r="A64" s="13"/>
      <c r="B64" s="13"/>
      <c r="C64" s="13"/>
      <c r="D64" s="13"/>
      <c r="E64" s="23"/>
      <c r="F64" s="2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row>
    <row r="65" spans="1:54" ht="15.75" customHeight="1">
      <c r="A65" s="13"/>
      <c r="B65" s="13"/>
      <c r="C65" s="13"/>
      <c r="D65" s="13"/>
      <c r="E65" s="23"/>
      <c r="F65" s="2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row>
    <row r="66" spans="1:54" ht="15.75" customHeight="1">
      <c r="A66" s="13"/>
      <c r="B66" s="13"/>
      <c r="C66" s="13"/>
      <c r="D66" s="13"/>
      <c r="E66" s="23"/>
      <c r="F66" s="2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row>
    <row r="67" spans="1:54" ht="15.75" customHeight="1">
      <c r="A67" s="13"/>
      <c r="B67" s="13"/>
      <c r="C67" s="13"/>
      <c r="D67" s="13"/>
      <c r="E67" s="23"/>
      <c r="F67" s="2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row>
    <row r="68" spans="1:54" ht="15.75" customHeight="1">
      <c r="A68" s="13"/>
      <c r="B68" s="13"/>
      <c r="C68" s="13"/>
      <c r="D68" s="13"/>
      <c r="E68" s="23"/>
      <c r="F68" s="2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row>
    <row r="69" spans="1:54" ht="15.75" customHeight="1">
      <c r="A69" s="13"/>
      <c r="B69" s="13"/>
      <c r="C69" s="13"/>
      <c r="D69" s="13"/>
      <c r="E69" s="23"/>
      <c r="F69" s="2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row>
    <row r="70" spans="1:54" ht="15.75" customHeight="1">
      <c r="A70" s="13"/>
      <c r="B70" s="13"/>
      <c r="C70" s="13"/>
      <c r="D70" s="13"/>
      <c r="E70" s="23"/>
      <c r="F70" s="2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row>
    <row r="71" spans="1:54" ht="15.75" customHeight="1">
      <c r="A71" s="13"/>
      <c r="B71" s="13"/>
      <c r="C71" s="13"/>
      <c r="D71" s="13"/>
      <c r="E71" s="23"/>
      <c r="F71" s="2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row>
    <row r="72" spans="1:54" ht="15.75" customHeight="1">
      <c r="A72" s="13"/>
      <c r="B72" s="13"/>
      <c r="C72" s="13"/>
      <c r="D72" s="13"/>
      <c r="E72" s="23"/>
      <c r="F72" s="2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row>
    <row r="73" spans="1:54" ht="15.75" customHeight="1">
      <c r="A73" s="13"/>
      <c r="B73" s="13"/>
      <c r="C73" s="13"/>
      <c r="D73" s="13"/>
      <c r="E73" s="23"/>
      <c r="F73" s="2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row>
    <row r="74" spans="1:54" ht="15.75" customHeight="1">
      <c r="A74" s="13"/>
      <c r="B74" s="13"/>
      <c r="C74" s="13"/>
      <c r="D74" s="13"/>
      <c r="E74" s="23"/>
      <c r="F74" s="2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row>
    <row r="75" spans="1:54" ht="15.75" customHeight="1">
      <c r="A75" s="13"/>
      <c r="B75" s="13"/>
      <c r="C75" s="13"/>
      <c r="D75" s="13"/>
      <c r="E75" s="23"/>
      <c r="F75" s="2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row>
    <row r="76" spans="1:54" ht="15.75" customHeight="1">
      <c r="A76" s="13"/>
      <c r="B76" s="13"/>
      <c r="C76" s="13"/>
      <c r="D76" s="13"/>
      <c r="E76" s="23"/>
      <c r="F76" s="2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row>
    <row r="77" spans="1:54" ht="15.75" customHeight="1">
      <c r="A77" s="13"/>
      <c r="B77" s="13"/>
      <c r="C77" s="13"/>
      <c r="D77" s="13"/>
      <c r="E77" s="23"/>
      <c r="F77" s="2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row>
    <row r="78" spans="1:54" ht="15.75" customHeight="1">
      <c r="A78" s="13"/>
      <c r="B78" s="13"/>
      <c r="C78" s="13"/>
      <c r="D78" s="13"/>
      <c r="E78" s="23"/>
      <c r="F78" s="2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row>
    <row r="79" spans="1:54" ht="15.75" customHeight="1">
      <c r="A79" s="13"/>
      <c r="B79" s="13"/>
      <c r="C79" s="13"/>
      <c r="D79" s="13"/>
      <c r="E79" s="23"/>
      <c r="F79" s="2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row>
    <row r="80" spans="1:54" ht="15.75" customHeight="1">
      <c r="A80" s="13"/>
      <c r="B80" s="13"/>
      <c r="C80" s="13"/>
      <c r="D80" s="13"/>
      <c r="E80" s="23"/>
      <c r="F80" s="2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row>
    <row r="81" spans="1:54" ht="15.75" customHeight="1">
      <c r="A81" s="13"/>
      <c r="B81" s="13"/>
      <c r="C81" s="13"/>
      <c r="D81" s="13"/>
      <c r="E81" s="23"/>
      <c r="F81" s="2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row>
    <row r="82" spans="1:54" ht="15.75" customHeight="1">
      <c r="A82" s="13"/>
      <c r="B82" s="13"/>
      <c r="C82" s="13"/>
      <c r="D82" s="13"/>
      <c r="E82" s="23"/>
      <c r="F82" s="2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row>
    <row r="83" spans="1:54" ht="15.75" customHeight="1">
      <c r="A83" s="13"/>
      <c r="B83" s="13"/>
      <c r="C83" s="13"/>
      <c r="D83" s="13"/>
      <c r="E83" s="23"/>
      <c r="F83" s="2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row>
    <row r="84" spans="1:54" ht="15.75" customHeight="1">
      <c r="A84" s="13"/>
      <c r="B84" s="13"/>
      <c r="C84" s="13"/>
      <c r="D84" s="13"/>
      <c r="E84" s="23"/>
      <c r="F84" s="2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row>
    <row r="85" spans="1:54" ht="15.75" customHeight="1">
      <c r="A85" s="13"/>
      <c r="B85" s="13"/>
      <c r="C85" s="13"/>
      <c r="D85" s="13"/>
      <c r="E85" s="23"/>
      <c r="F85" s="2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row>
    <row r="86" spans="1:54" ht="15.75" customHeight="1">
      <c r="A86" s="13"/>
      <c r="B86" s="13"/>
      <c r="C86" s="13"/>
      <c r="D86" s="13"/>
      <c r="E86" s="23"/>
      <c r="F86" s="2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row>
    <row r="87" spans="1:54" ht="15.75" customHeight="1">
      <c r="A87" s="13"/>
      <c r="B87" s="13"/>
      <c r="C87" s="13"/>
      <c r="D87" s="13"/>
      <c r="E87" s="23"/>
      <c r="F87" s="2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row>
    <row r="88" spans="1:54" ht="15.75" customHeight="1">
      <c r="A88" s="13"/>
      <c r="B88" s="13"/>
      <c r="C88" s="13"/>
      <c r="D88" s="13"/>
      <c r="E88" s="23"/>
      <c r="F88" s="2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row>
    <row r="89" spans="1:54" ht="15.75" customHeight="1">
      <c r="A89" s="13"/>
      <c r="B89" s="13"/>
      <c r="C89" s="13"/>
      <c r="D89" s="13"/>
      <c r="E89" s="23"/>
      <c r="F89" s="2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row>
    <row r="90" spans="1:54" ht="15.75" customHeight="1">
      <c r="A90" s="13"/>
      <c r="B90" s="13"/>
      <c r="C90" s="13"/>
      <c r="D90" s="13"/>
      <c r="E90" s="23"/>
      <c r="F90" s="2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row>
    <row r="91" spans="1:54" ht="15.75" customHeight="1">
      <c r="A91" s="13"/>
      <c r="B91" s="13"/>
      <c r="C91" s="13"/>
      <c r="D91" s="13"/>
      <c r="E91" s="23"/>
      <c r="F91" s="2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row>
    <row r="92" spans="1:54" ht="15.75" customHeight="1">
      <c r="A92" s="13"/>
      <c r="B92" s="13"/>
      <c r="C92" s="13"/>
      <c r="D92" s="13"/>
      <c r="E92" s="23"/>
      <c r="F92" s="2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row>
    <row r="93" spans="1:54" ht="15.75" customHeight="1">
      <c r="A93" s="13"/>
      <c r="B93" s="13"/>
      <c r="C93" s="13"/>
      <c r="D93" s="13"/>
      <c r="E93" s="23"/>
      <c r="F93" s="2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row>
    <row r="94" spans="1:54" ht="15.75" customHeight="1">
      <c r="A94" s="13"/>
      <c r="B94" s="13"/>
      <c r="C94" s="13"/>
      <c r="D94" s="13"/>
      <c r="E94" s="23"/>
      <c r="F94" s="2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row>
    <row r="95" spans="1:54" ht="15.75" customHeight="1">
      <c r="A95" s="13"/>
      <c r="B95" s="13"/>
      <c r="C95" s="13"/>
      <c r="D95" s="13"/>
      <c r="E95" s="23"/>
      <c r="F95" s="2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row>
    <row r="96" spans="1:54" ht="15.75" customHeight="1">
      <c r="A96" s="13"/>
      <c r="B96" s="13"/>
      <c r="C96" s="13"/>
      <c r="D96" s="13"/>
      <c r="E96" s="23"/>
      <c r="F96" s="2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row>
    <row r="97" spans="1:54" ht="15.75" customHeight="1">
      <c r="A97" s="13"/>
      <c r="B97" s="13"/>
      <c r="C97" s="13"/>
      <c r="D97" s="13"/>
      <c r="E97" s="23"/>
      <c r="F97" s="2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row>
    <row r="98" spans="1:54" ht="15.75" customHeight="1">
      <c r="A98" s="13"/>
      <c r="B98" s="13"/>
      <c r="C98" s="13"/>
      <c r="D98" s="13"/>
      <c r="E98" s="23"/>
      <c r="F98" s="2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row>
    <row r="99" spans="1:54" ht="15.75" customHeight="1">
      <c r="A99" s="13"/>
      <c r="B99" s="13"/>
      <c r="C99" s="13"/>
      <c r="D99" s="13"/>
      <c r="E99" s="23"/>
      <c r="F99" s="2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row>
    <row r="100" spans="1:54" ht="15.75" customHeight="1">
      <c r="A100" s="13"/>
      <c r="B100" s="13"/>
      <c r="C100" s="13"/>
      <c r="D100" s="13"/>
      <c r="E100" s="23"/>
      <c r="F100" s="2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row>
    <row r="101" spans="1:54" ht="15.75" customHeight="1">
      <c r="A101" s="13"/>
      <c r="B101" s="13"/>
      <c r="C101" s="13"/>
      <c r="D101" s="13"/>
      <c r="E101" s="23"/>
      <c r="F101" s="2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row>
    <row r="102" spans="1:54" ht="15.75" customHeight="1">
      <c r="A102" s="13"/>
      <c r="B102" s="13"/>
      <c r="C102" s="13"/>
      <c r="D102" s="13"/>
      <c r="E102" s="23"/>
      <c r="F102" s="2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row>
    <row r="103" spans="1:54" ht="15.75" customHeight="1">
      <c r="A103" s="13"/>
      <c r="B103" s="13"/>
      <c r="C103" s="13"/>
      <c r="D103" s="13"/>
      <c r="E103" s="23"/>
      <c r="F103" s="2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row>
    <row r="104" spans="1:54" ht="15.75" customHeight="1">
      <c r="A104" s="13"/>
      <c r="B104" s="13"/>
      <c r="C104" s="13"/>
      <c r="D104" s="13"/>
      <c r="E104" s="23"/>
      <c r="F104" s="2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row>
    <row r="105" spans="1:54" ht="15.75" customHeight="1">
      <c r="A105" s="13"/>
      <c r="B105" s="13"/>
      <c r="C105" s="13"/>
      <c r="D105" s="13"/>
      <c r="E105" s="23"/>
      <c r="F105" s="2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row>
    <row r="106" spans="1:54" ht="15.75" customHeight="1">
      <c r="A106" s="13"/>
      <c r="B106" s="13"/>
      <c r="C106" s="13"/>
      <c r="D106" s="13"/>
      <c r="E106" s="23"/>
      <c r="F106" s="2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row>
    <row r="107" spans="1:54" ht="15.75" customHeight="1">
      <c r="A107" s="13"/>
      <c r="B107" s="13"/>
      <c r="C107" s="13"/>
      <c r="D107" s="13"/>
      <c r="E107" s="23"/>
      <c r="F107" s="2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row>
    <row r="108" spans="1:54" ht="15.75" customHeight="1">
      <c r="A108" s="13"/>
      <c r="B108" s="13"/>
      <c r="C108" s="13"/>
      <c r="D108" s="13"/>
      <c r="E108" s="23"/>
      <c r="F108" s="2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row>
    <row r="109" spans="1:54" ht="15.75" customHeight="1">
      <c r="A109" s="13"/>
      <c r="B109" s="13"/>
      <c r="C109" s="13"/>
      <c r="D109" s="13"/>
      <c r="E109" s="23"/>
      <c r="F109" s="2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row>
    <row r="110" spans="1:54" ht="15.75" customHeight="1">
      <c r="A110" s="13"/>
      <c r="B110" s="13"/>
      <c r="C110" s="13"/>
      <c r="D110" s="13"/>
      <c r="E110" s="23"/>
      <c r="F110" s="2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row>
    <row r="111" spans="1:54" ht="15.75" customHeight="1">
      <c r="A111" s="13"/>
      <c r="B111" s="13"/>
      <c r="C111" s="13"/>
      <c r="D111" s="13"/>
      <c r="E111" s="23"/>
      <c r="F111" s="2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row>
    <row r="112" spans="1:54" ht="15.75" customHeight="1">
      <c r="A112" s="13"/>
      <c r="B112" s="13"/>
      <c r="C112" s="13"/>
      <c r="D112" s="13"/>
      <c r="E112" s="23"/>
      <c r="F112" s="2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row>
    <row r="113" spans="1:54" ht="15.75" customHeight="1">
      <c r="A113" s="13"/>
      <c r="B113" s="13"/>
      <c r="C113" s="13"/>
      <c r="D113" s="13"/>
      <c r="E113" s="23"/>
      <c r="F113" s="2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row>
    <row r="114" spans="1:54" ht="15.75" customHeight="1">
      <c r="A114" s="13"/>
      <c r="B114" s="13"/>
      <c r="C114" s="13"/>
      <c r="D114" s="13"/>
      <c r="E114" s="23"/>
      <c r="F114" s="2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row>
    <row r="115" spans="1:54" ht="15.75" customHeight="1">
      <c r="A115" s="13"/>
      <c r="B115" s="13"/>
      <c r="C115" s="13"/>
      <c r="D115" s="13"/>
      <c r="E115" s="23"/>
      <c r="F115" s="2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row>
    <row r="116" spans="1:54" ht="15.75" customHeight="1">
      <c r="A116" s="13"/>
      <c r="B116" s="13"/>
      <c r="C116" s="13"/>
      <c r="D116" s="13"/>
      <c r="E116" s="23"/>
      <c r="F116" s="2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row>
    <row r="117" spans="1:54" ht="15.75" customHeight="1">
      <c r="A117" s="13"/>
      <c r="B117" s="13"/>
      <c r="C117" s="13"/>
      <c r="D117" s="13"/>
      <c r="E117" s="23"/>
      <c r="F117" s="2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row>
    <row r="118" spans="1:54" ht="15.75" customHeight="1">
      <c r="A118" s="13"/>
      <c r="B118" s="13"/>
      <c r="C118" s="13"/>
      <c r="D118" s="13"/>
      <c r="E118" s="23"/>
      <c r="F118" s="2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row>
    <row r="119" spans="1:54" ht="15.75" customHeight="1">
      <c r="A119" s="13"/>
      <c r="B119" s="13"/>
      <c r="C119" s="13"/>
      <c r="D119" s="13"/>
      <c r="E119" s="23"/>
      <c r="F119" s="2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row>
    <row r="120" spans="1:54" ht="15.75" customHeight="1">
      <c r="A120" s="13"/>
      <c r="B120" s="13"/>
      <c r="C120" s="13"/>
      <c r="D120" s="13"/>
      <c r="E120" s="23"/>
      <c r="F120" s="2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row>
    <row r="121" spans="1:54" ht="15.75" customHeight="1">
      <c r="A121" s="13"/>
      <c r="B121" s="13"/>
      <c r="C121" s="13"/>
      <c r="D121" s="13"/>
      <c r="E121" s="23"/>
      <c r="F121" s="2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row>
    <row r="122" spans="1:54" ht="15.75" customHeight="1">
      <c r="A122" s="13"/>
      <c r="B122" s="13"/>
      <c r="C122" s="13"/>
      <c r="D122" s="13"/>
      <c r="E122" s="23"/>
      <c r="F122" s="2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row>
    <row r="123" spans="1:54" ht="15.75" customHeight="1">
      <c r="A123" s="13"/>
      <c r="B123" s="13"/>
      <c r="C123" s="13"/>
      <c r="D123" s="13"/>
      <c r="E123" s="23"/>
      <c r="F123" s="2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row>
    <row r="124" spans="1:54" ht="15.75" customHeight="1">
      <c r="A124" s="13"/>
      <c r="B124" s="13"/>
      <c r="C124" s="13"/>
      <c r="D124" s="13"/>
      <c r="E124" s="23"/>
      <c r="F124" s="2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row>
    <row r="125" spans="1:54" ht="15.75" customHeight="1">
      <c r="A125" s="13"/>
      <c r="B125" s="13"/>
      <c r="C125" s="13"/>
      <c r="D125" s="13"/>
      <c r="E125" s="23"/>
      <c r="F125" s="2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row>
    <row r="126" spans="1:54" ht="15.75" customHeight="1">
      <c r="A126" s="13"/>
      <c r="B126" s="13"/>
      <c r="C126" s="13"/>
      <c r="D126" s="13"/>
      <c r="E126" s="23"/>
      <c r="F126" s="2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row>
    <row r="127" spans="1:54" ht="15.75" customHeight="1">
      <c r="A127" s="13"/>
      <c r="B127" s="13"/>
      <c r="C127" s="13"/>
      <c r="D127" s="13"/>
      <c r="E127" s="23"/>
      <c r="F127" s="2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row>
    <row r="128" spans="1:54" ht="15.75" customHeight="1">
      <c r="A128" s="13"/>
      <c r="B128" s="13"/>
      <c r="C128" s="13"/>
      <c r="D128" s="13"/>
      <c r="E128" s="23"/>
      <c r="F128" s="2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row>
    <row r="129" spans="1:54" ht="15.75" customHeight="1">
      <c r="A129" s="13"/>
      <c r="B129" s="13"/>
      <c r="C129" s="13"/>
      <c r="D129" s="13"/>
      <c r="E129" s="23"/>
      <c r="F129" s="2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row>
    <row r="130" spans="1:54" ht="15.75" customHeight="1">
      <c r="A130" s="13"/>
      <c r="B130" s="13"/>
      <c r="C130" s="13"/>
      <c r="D130" s="13"/>
      <c r="E130" s="23"/>
      <c r="F130" s="2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row>
    <row r="131" spans="1:54" ht="15.75" customHeight="1">
      <c r="A131" s="13"/>
      <c r="B131" s="13"/>
      <c r="C131" s="13"/>
      <c r="D131" s="13"/>
      <c r="E131" s="23"/>
      <c r="F131" s="2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row>
    <row r="132" spans="1:54" ht="15.75" customHeight="1">
      <c r="A132" s="13"/>
      <c r="B132" s="13"/>
      <c r="C132" s="13"/>
      <c r="D132" s="13"/>
      <c r="E132" s="23"/>
      <c r="F132" s="2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row>
    <row r="133" spans="1:54" ht="15.75" customHeight="1">
      <c r="A133" s="13"/>
      <c r="B133" s="13"/>
      <c r="C133" s="13"/>
      <c r="D133" s="13"/>
      <c r="E133" s="23"/>
      <c r="F133" s="2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row>
    <row r="134" spans="1:54" ht="15.75" customHeight="1">
      <c r="A134" s="13"/>
      <c r="B134" s="13"/>
      <c r="C134" s="13"/>
      <c r="D134" s="13"/>
      <c r="E134" s="23"/>
      <c r="F134" s="2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row>
    <row r="135" spans="1:54" ht="15.75" customHeight="1">
      <c r="A135" s="13"/>
      <c r="B135" s="13"/>
      <c r="C135" s="13"/>
      <c r="D135" s="13"/>
      <c r="E135" s="23"/>
      <c r="F135" s="2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row>
    <row r="136" spans="1:54" ht="15.75" customHeight="1">
      <c r="A136" s="13"/>
      <c r="B136" s="13"/>
      <c r="C136" s="13"/>
      <c r="D136" s="13"/>
      <c r="E136" s="23"/>
      <c r="F136" s="2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row>
    <row r="137" spans="1:54" ht="15.75" customHeight="1">
      <c r="A137" s="13"/>
      <c r="B137" s="13"/>
      <c r="C137" s="13"/>
      <c r="D137" s="13"/>
      <c r="E137" s="23"/>
      <c r="F137" s="2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row>
    <row r="138" spans="1:54" ht="15.75" customHeight="1">
      <c r="A138" s="13"/>
      <c r="B138" s="13"/>
      <c r="C138" s="13"/>
      <c r="D138" s="13"/>
      <c r="E138" s="23"/>
      <c r="F138" s="2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row>
    <row r="139" spans="1:54" ht="15.75" customHeight="1">
      <c r="A139" s="13"/>
      <c r="B139" s="13"/>
      <c r="C139" s="13"/>
      <c r="D139" s="13"/>
      <c r="E139" s="23"/>
      <c r="F139" s="2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row>
    <row r="140" spans="1:54" ht="15.75" customHeight="1">
      <c r="A140" s="13"/>
      <c r="B140" s="13"/>
      <c r="C140" s="13"/>
      <c r="D140" s="13"/>
      <c r="E140" s="23"/>
      <c r="F140" s="2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row>
    <row r="141" spans="1:54" ht="15.75" customHeight="1">
      <c r="A141" s="13"/>
      <c r="B141" s="13"/>
      <c r="C141" s="13"/>
      <c r="D141" s="13"/>
      <c r="E141" s="23"/>
      <c r="F141" s="2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row>
    <row r="142" spans="1:54" ht="15.75" customHeight="1">
      <c r="A142" s="13"/>
      <c r="B142" s="13"/>
      <c r="C142" s="13"/>
      <c r="D142" s="13"/>
      <c r="E142" s="23"/>
      <c r="F142" s="2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row>
    <row r="143" spans="1:54" ht="15.75" customHeight="1">
      <c r="A143" s="13"/>
      <c r="B143" s="13"/>
      <c r="C143" s="13"/>
      <c r="D143" s="13"/>
      <c r="E143" s="23"/>
      <c r="F143" s="2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row>
    <row r="144" spans="1:54" ht="15.75" customHeight="1">
      <c r="A144" s="13"/>
      <c r="B144" s="13"/>
      <c r="C144" s="13"/>
      <c r="D144" s="13"/>
      <c r="E144" s="23"/>
      <c r="F144" s="2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row>
    <row r="145" spans="1:54" ht="15.75" customHeight="1">
      <c r="A145" s="13"/>
      <c r="B145" s="13"/>
      <c r="C145" s="13"/>
      <c r="D145" s="13"/>
      <c r="E145" s="23"/>
      <c r="F145" s="2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row>
    <row r="146" spans="1:54" ht="15.75" customHeight="1">
      <c r="A146" s="13"/>
      <c r="B146" s="13"/>
      <c r="C146" s="13"/>
      <c r="D146" s="13"/>
      <c r="E146" s="23"/>
      <c r="F146" s="2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row>
    <row r="147" spans="1:54" ht="15.75" customHeight="1">
      <c r="A147" s="13"/>
      <c r="B147" s="13"/>
      <c r="C147" s="13"/>
      <c r="D147" s="13"/>
      <c r="E147" s="23"/>
      <c r="F147" s="2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row>
    <row r="148" spans="1:54" ht="15.75" customHeight="1">
      <c r="A148" s="13"/>
      <c r="B148" s="13"/>
      <c r="C148" s="13"/>
      <c r="D148" s="13"/>
      <c r="E148" s="23"/>
      <c r="F148" s="2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row>
    <row r="149" spans="1:54" ht="15.75" customHeight="1">
      <c r="A149" s="13"/>
      <c r="B149" s="13"/>
      <c r="C149" s="13"/>
      <c r="D149" s="13"/>
      <c r="E149" s="23"/>
      <c r="F149" s="2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row>
    <row r="150" spans="1:54" ht="15.75" customHeight="1">
      <c r="A150" s="13"/>
      <c r="B150" s="13"/>
      <c r="C150" s="13"/>
      <c r="D150" s="13"/>
      <c r="E150" s="23"/>
      <c r="F150" s="2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row>
    <row r="151" spans="1:54" ht="15.75" customHeight="1">
      <c r="A151" s="13"/>
      <c r="B151" s="13"/>
      <c r="C151" s="13"/>
      <c r="D151" s="13"/>
      <c r="E151" s="23"/>
      <c r="F151" s="2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row>
    <row r="152" spans="1:54" ht="15.75" customHeight="1">
      <c r="A152" s="13"/>
      <c r="B152" s="13"/>
      <c r="C152" s="13"/>
      <c r="D152" s="13"/>
      <c r="E152" s="23"/>
      <c r="F152" s="2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row>
    <row r="153" spans="1:54" ht="15.75" customHeight="1">
      <c r="A153" s="13"/>
      <c r="B153" s="13"/>
      <c r="C153" s="13"/>
      <c r="D153" s="13"/>
      <c r="E153" s="23"/>
      <c r="F153" s="2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row>
    <row r="154" spans="1:54" ht="15.75" customHeight="1">
      <c r="A154" s="13"/>
      <c r="B154" s="13"/>
      <c r="C154" s="13"/>
      <c r="D154" s="13"/>
      <c r="E154" s="23"/>
      <c r="F154" s="2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row>
    <row r="155" spans="1:54" ht="15.75" customHeight="1">
      <c r="A155" s="13"/>
      <c r="B155" s="13"/>
      <c r="C155" s="13"/>
      <c r="D155" s="13"/>
      <c r="E155" s="23"/>
      <c r="F155" s="2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row>
    <row r="156" spans="1:54" ht="15.75" customHeight="1">
      <c r="A156" s="13"/>
      <c r="B156" s="13"/>
      <c r="C156" s="13"/>
      <c r="D156" s="13"/>
      <c r="E156" s="23"/>
      <c r="F156" s="2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row>
    <row r="157" spans="1:54" ht="15.75" customHeight="1">
      <c r="A157" s="13"/>
      <c r="B157" s="13"/>
      <c r="C157" s="13"/>
      <c r="D157" s="13"/>
      <c r="E157" s="23"/>
      <c r="F157" s="2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row>
    <row r="158" spans="1:54" ht="15.75" customHeight="1">
      <c r="A158" s="13"/>
      <c r="B158" s="13"/>
      <c r="C158" s="13"/>
      <c r="D158" s="13"/>
      <c r="E158" s="23"/>
      <c r="F158" s="2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row>
    <row r="159" spans="1:54" ht="15.75" customHeight="1">
      <c r="A159" s="13"/>
      <c r="B159" s="13"/>
      <c r="C159" s="13"/>
      <c r="D159" s="13"/>
      <c r="E159" s="23"/>
      <c r="F159" s="2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row>
    <row r="160" spans="1:54" ht="15.75" customHeight="1">
      <c r="A160" s="13"/>
      <c r="B160" s="13"/>
      <c r="C160" s="13"/>
      <c r="D160" s="13"/>
      <c r="E160" s="23"/>
      <c r="F160" s="2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row>
    <row r="161" spans="1:54" ht="15.75" customHeight="1">
      <c r="A161" s="13"/>
      <c r="B161" s="13"/>
      <c r="C161" s="13"/>
      <c r="D161" s="13"/>
      <c r="E161" s="23"/>
      <c r="F161" s="2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row>
    <row r="162" spans="1:54" ht="15.75" customHeight="1">
      <c r="A162" s="13"/>
      <c r="B162" s="13"/>
      <c r="C162" s="13"/>
      <c r="D162" s="13"/>
      <c r="E162" s="23"/>
      <c r="F162" s="2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row>
    <row r="163" spans="1:54" ht="15.75" customHeight="1">
      <c r="A163" s="13"/>
      <c r="B163" s="13"/>
      <c r="C163" s="13"/>
      <c r="D163" s="13"/>
      <c r="E163" s="23"/>
      <c r="F163" s="2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row>
    <row r="164" spans="1:54" ht="15.75" customHeight="1">
      <c r="A164" s="13"/>
      <c r="B164" s="13"/>
      <c r="C164" s="13"/>
      <c r="D164" s="13"/>
      <c r="E164" s="23"/>
      <c r="F164" s="2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row>
    <row r="165" spans="1:54" ht="15.75" customHeight="1">
      <c r="A165" s="13"/>
      <c r="B165" s="13"/>
      <c r="C165" s="13"/>
      <c r="D165" s="13"/>
      <c r="E165" s="23"/>
      <c r="F165" s="2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row>
    <row r="166" spans="1:54" ht="15.75" customHeight="1">
      <c r="A166" s="13"/>
      <c r="B166" s="13"/>
      <c r="C166" s="13"/>
      <c r="D166" s="13"/>
      <c r="E166" s="23"/>
      <c r="F166" s="2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row>
    <row r="167" spans="1:54" ht="15.75" customHeight="1">
      <c r="A167" s="13"/>
      <c r="B167" s="13"/>
      <c r="C167" s="13"/>
      <c r="D167" s="13"/>
      <c r="E167" s="23"/>
      <c r="F167" s="2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row>
    <row r="168" spans="1:54" ht="15.75" customHeight="1">
      <c r="A168" s="13"/>
      <c r="B168" s="13"/>
      <c r="C168" s="13"/>
      <c r="D168" s="13"/>
      <c r="E168" s="23"/>
      <c r="F168" s="2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row>
    <row r="169" spans="1:54" ht="15.75" customHeight="1">
      <c r="A169" s="13"/>
      <c r="B169" s="13"/>
      <c r="C169" s="13"/>
      <c r="D169" s="13"/>
      <c r="E169" s="23"/>
      <c r="F169" s="2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row>
    <row r="170" spans="1:54" ht="15.75" customHeight="1">
      <c r="A170" s="13"/>
      <c r="B170" s="13"/>
      <c r="C170" s="13"/>
      <c r="D170" s="13"/>
      <c r="E170" s="23"/>
      <c r="F170" s="2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row>
    <row r="171" spans="1:54" ht="15.75" customHeight="1">
      <c r="A171" s="13"/>
      <c r="B171" s="13"/>
      <c r="C171" s="13"/>
      <c r="D171" s="13"/>
      <c r="E171" s="23"/>
      <c r="F171" s="2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row>
    <row r="172" spans="1:54" ht="15.75" customHeight="1">
      <c r="A172" s="13"/>
      <c r="B172" s="13"/>
      <c r="C172" s="13"/>
      <c r="D172" s="13"/>
      <c r="E172" s="23"/>
      <c r="F172" s="2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row>
    <row r="173" spans="1:54" ht="15.75" customHeight="1">
      <c r="A173" s="13"/>
      <c r="B173" s="13"/>
      <c r="C173" s="13"/>
      <c r="D173" s="13"/>
      <c r="E173" s="23"/>
      <c r="F173" s="2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row>
    <row r="174" spans="1:54" ht="15.75" customHeight="1">
      <c r="A174" s="13"/>
      <c r="B174" s="13"/>
      <c r="C174" s="13"/>
      <c r="D174" s="13"/>
      <c r="E174" s="23"/>
      <c r="F174" s="2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row>
    <row r="175" spans="1:54" ht="15.75" customHeight="1">
      <c r="A175" s="13"/>
      <c r="B175" s="13"/>
      <c r="C175" s="13"/>
      <c r="D175" s="13"/>
      <c r="E175" s="23"/>
      <c r="F175" s="2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row>
    <row r="176" spans="1:54" ht="15.75" customHeight="1">
      <c r="A176" s="13"/>
      <c r="B176" s="13"/>
      <c r="C176" s="13"/>
      <c r="D176" s="13"/>
      <c r="E176" s="23"/>
      <c r="F176" s="2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row>
    <row r="177" spans="1:54" ht="15.75" customHeight="1">
      <c r="A177" s="13"/>
      <c r="B177" s="13"/>
      <c r="C177" s="13"/>
      <c r="D177" s="13"/>
      <c r="E177" s="23"/>
      <c r="F177" s="2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row>
    <row r="178" spans="1:54" ht="15.75" customHeight="1">
      <c r="A178" s="13"/>
      <c r="B178" s="13"/>
      <c r="C178" s="13"/>
      <c r="D178" s="13"/>
      <c r="E178" s="23"/>
      <c r="F178" s="2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row>
    <row r="179" spans="1:54" ht="15.75" customHeight="1">
      <c r="A179" s="13"/>
      <c r="B179" s="13"/>
      <c r="C179" s="13"/>
      <c r="D179" s="13"/>
      <c r="E179" s="23"/>
      <c r="F179" s="2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row>
    <row r="180" spans="1:54" ht="15.75" customHeight="1">
      <c r="A180" s="13"/>
      <c r="B180" s="13"/>
      <c r="C180" s="13"/>
      <c r="D180" s="13"/>
      <c r="E180" s="23"/>
      <c r="F180" s="2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row>
    <row r="181" spans="1:54" ht="15.75" customHeight="1">
      <c r="A181" s="13"/>
      <c r="B181" s="13"/>
      <c r="C181" s="13"/>
      <c r="D181" s="13"/>
      <c r="E181" s="23"/>
      <c r="F181" s="2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row>
    <row r="182" spans="1:54" ht="15.75" customHeight="1">
      <c r="A182" s="13"/>
      <c r="B182" s="13"/>
      <c r="C182" s="13"/>
      <c r="D182" s="13"/>
      <c r="E182" s="23"/>
      <c r="F182" s="2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row>
    <row r="183" spans="1:54" ht="15.75" customHeight="1">
      <c r="A183" s="13"/>
      <c r="B183" s="13"/>
      <c r="C183" s="13"/>
      <c r="D183" s="13"/>
      <c r="E183" s="23"/>
      <c r="F183" s="2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row>
    <row r="184" spans="1:54" ht="15.75" customHeight="1">
      <c r="A184" s="13"/>
      <c r="B184" s="13"/>
      <c r="C184" s="13"/>
      <c r="D184" s="13"/>
      <c r="E184" s="23"/>
      <c r="F184" s="2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row>
    <row r="185" spans="1:54" ht="15.75" customHeight="1">
      <c r="A185" s="13"/>
      <c r="B185" s="13"/>
      <c r="C185" s="13"/>
      <c r="D185" s="13"/>
      <c r="E185" s="23"/>
      <c r="F185" s="2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row>
    <row r="186" spans="1:54" ht="15.75" customHeight="1">
      <c r="A186" s="13"/>
      <c r="B186" s="13"/>
      <c r="C186" s="13"/>
      <c r="D186" s="13"/>
      <c r="E186" s="23"/>
      <c r="F186" s="2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row>
    <row r="187" spans="1:54" ht="15.75" customHeight="1">
      <c r="A187" s="13"/>
      <c r="B187" s="13"/>
      <c r="C187" s="13"/>
      <c r="D187" s="13"/>
      <c r="E187" s="23"/>
      <c r="F187" s="2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row>
    <row r="188" spans="1:54" ht="15.75" customHeight="1">
      <c r="A188" s="13"/>
      <c r="B188" s="13"/>
      <c r="C188" s="13"/>
      <c r="D188" s="13"/>
      <c r="E188" s="23"/>
      <c r="F188" s="2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row>
    <row r="189" spans="1:54" ht="15.75" customHeight="1">
      <c r="A189" s="13"/>
      <c r="B189" s="13"/>
      <c r="C189" s="13"/>
      <c r="D189" s="13"/>
      <c r="E189" s="23"/>
      <c r="F189" s="2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row>
    <row r="190" spans="1:54" ht="15.75" customHeight="1">
      <c r="A190" s="13"/>
      <c r="B190" s="13"/>
      <c r="C190" s="13"/>
      <c r="D190" s="13"/>
      <c r="E190" s="23"/>
      <c r="F190" s="2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row>
    <row r="191" spans="1:54" ht="15.75" customHeight="1">
      <c r="A191" s="13"/>
      <c r="B191" s="13"/>
      <c r="C191" s="13"/>
      <c r="D191" s="13"/>
      <c r="E191" s="23"/>
      <c r="F191" s="2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row>
    <row r="192" spans="1:54" ht="15.75" customHeight="1">
      <c r="A192" s="13"/>
      <c r="B192" s="13"/>
      <c r="C192" s="13"/>
      <c r="D192" s="13"/>
      <c r="E192" s="23"/>
      <c r="F192" s="2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row>
    <row r="193" spans="1:54" ht="15.75" customHeight="1">
      <c r="A193" s="13"/>
      <c r="B193" s="13"/>
      <c r="C193" s="13"/>
      <c r="D193" s="13"/>
      <c r="E193" s="23"/>
      <c r="F193" s="2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row>
    <row r="194" spans="1:54" ht="15.75" customHeight="1">
      <c r="A194" s="13"/>
      <c r="B194" s="13"/>
      <c r="C194" s="13"/>
      <c r="D194" s="13"/>
      <c r="E194" s="23"/>
      <c r="F194" s="2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row>
    <row r="195" spans="1:54" ht="15.75" customHeight="1">
      <c r="A195" s="13"/>
      <c r="B195" s="13"/>
      <c r="C195" s="13"/>
      <c r="D195" s="13"/>
      <c r="E195" s="23"/>
      <c r="F195" s="2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row>
    <row r="196" spans="1:54" ht="15.75" customHeight="1">
      <c r="A196" s="13"/>
      <c r="B196" s="13"/>
      <c r="C196" s="13"/>
      <c r="D196" s="13"/>
      <c r="E196" s="23"/>
      <c r="F196" s="2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row>
    <row r="197" spans="1:54" ht="15.75" customHeight="1">
      <c r="A197" s="13"/>
      <c r="B197" s="13"/>
      <c r="C197" s="13"/>
      <c r="D197" s="13"/>
      <c r="E197" s="23"/>
      <c r="F197" s="2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row>
    <row r="198" spans="1:54" ht="15.75" customHeight="1">
      <c r="A198" s="13"/>
      <c r="B198" s="13"/>
      <c r="C198" s="13"/>
      <c r="D198" s="13"/>
      <c r="E198" s="23"/>
      <c r="F198" s="2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row>
    <row r="199" spans="1:54" ht="15.75" customHeight="1">
      <c r="A199" s="13"/>
      <c r="B199" s="13"/>
      <c r="C199" s="13"/>
      <c r="D199" s="13"/>
      <c r="E199" s="23"/>
      <c r="F199" s="2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row>
    <row r="200" spans="1:54" ht="15.75" customHeight="1">
      <c r="A200" s="13"/>
      <c r="B200" s="13"/>
      <c r="C200" s="13"/>
      <c r="D200" s="13"/>
      <c r="E200" s="23"/>
      <c r="F200" s="2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row>
    <row r="201" spans="1:54" ht="15.75" customHeight="1">
      <c r="A201" s="13"/>
      <c r="B201" s="13"/>
      <c r="C201" s="13"/>
      <c r="D201" s="13"/>
      <c r="E201" s="23"/>
      <c r="F201" s="2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row>
    <row r="202" spans="1:54" ht="15.75" customHeight="1">
      <c r="A202" s="13"/>
      <c r="B202" s="13"/>
      <c r="C202" s="13"/>
      <c r="D202" s="13"/>
      <c r="E202" s="23"/>
      <c r="F202" s="2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row>
    <row r="203" spans="1:54" ht="15.75" customHeight="1">
      <c r="A203" s="13"/>
      <c r="B203" s="13"/>
      <c r="C203" s="13"/>
      <c r="D203" s="13"/>
      <c r="E203" s="23"/>
      <c r="F203" s="2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row>
    <row r="204" spans="1:54" ht="15.75" customHeight="1">
      <c r="A204" s="13"/>
      <c r="B204" s="13"/>
      <c r="C204" s="13"/>
      <c r="D204" s="13"/>
      <c r="E204" s="23"/>
      <c r="F204" s="2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row>
    <row r="205" spans="1:54" ht="15.75" customHeight="1">
      <c r="A205" s="13"/>
      <c r="B205" s="13"/>
      <c r="C205" s="13"/>
      <c r="D205" s="13"/>
      <c r="E205" s="23"/>
      <c r="F205" s="2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row>
    <row r="206" spans="1:54" ht="15.75" customHeight="1">
      <c r="A206" s="13"/>
      <c r="B206" s="13"/>
      <c r="C206" s="13"/>
      <c r="D206" s="13"/>
      <c r="E206" s="23"/>
      <c r="F206" s="2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row>
    <row r="207" spans="1:54" ht="15.75" customHeight="1">
      <c r="A207" s="13"/>
      <c r="B207" s="13"/>
      <c r="C207" s="13"/>
      <c r="D207" s="13"/>
      <c r="E207" s="23"/>
      <c r="F207" s="2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row>
    <row r="208" spans="1:54" ht="15.75" customHeight="1">
      <c r="A208" s="13"/>
      <c r="B208" s="13"/>
      <c r="C208" s="13"/>
      <c r="D208" s="13"/>
      <c r="E208" s="23"/>
      <c r="F208" s="2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row>
    <row r="209" spans="1:54" ht="15.75" customHeight="1">
      <c r="A209" s="13"/>
      <c r="B209" s="13"/>
      <c r="C209" s="13"/>
      <c r="D209" s="13"/>
      <c r="E209" s="23"/>
      <c r="F209" s="2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row>
    <row r="210" spans="1:54" ht="15.75" customHeight="1">
      <c r="A210" s="13"/>
      <c r="B210" s="13"/>
      <c r="C210" s="13"/>
      <c r="D210" s="13"/>
      <c r="E210" s="23"/>
      <c r="F210" s="2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row>
    <row r="211" spans="1:54" ht="15.75" customHeight="1">
      <c r="A211" s="13"/>
      <c r="B211" s="13"/>
      <c r="C211" s="13"/>
      <c r="D211" s="13"/>
      <c r="E211" s="23"/>
      <c r="F211" s="2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row>
    <row r="212" spans="1:54" ht="15.75" customHeight="1">
      <c r="A212" s="13"/>
      <c r="B212" s="13"/>
      <c r="C212" s="13"/>
      <c r="D212" s="13"/>
      <c r="E212" s="23"/>
      <c r="F212" s="2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row>
    <row r="213" spans="1:54" ht="15.75" customHeight="1">
      <c r="A213" s="13"/>
      <c r="B213" s="13"/>
      <c r="C213" s="13"/>
      <c r="D213" s="13"/>
      <c r="E213" s="23"/>
      <c r="F213" s="2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row>
    <row r="214" spans="1:54" ht="15.75" customHeight="1">
      <c r="A214" s="13"/>
      <c r="B214" s="13"/>
      <c r="C214" s="13"/>
      <c r="D214" s="13"/>
      <c r="E214" s="23"/>
      <c r="F214" s="2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row>
    <row r="215" spans="1:54" ht="15.75" customHeight="1">
      <c r="A215" s="13"/>
      <c r="B215" s="13"/>
      <c r="C215" s="13"/>
      <c r="D215" s="13"/>
      <c r="E215" s="23"/>
      <c r="F215" s="2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row>
    <row r="216" spans="1:54" ht="15.75" customHeight="1">
      <c r="A216" s="13"/>
      <c r="B216" s="13"/>
      <c r="C216" s="13"/>
      <c r="D216" s="13"/>
      <c r="E216" s="23"/>
      <c r="F216" s="2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row>
    <row r="217" spans="1:54" ht="15.75" customHeight="1">
      <c r="A217" s="13"/>
      <c r="B217" s="13"/>
      <c r="C217" s="13"/>
      <c r="D217" s="13"/>
      <c r="E217" s="23"/>
      <c r="F217" s="2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row>
    <row r="218" spans="1:54" ht="15.75" customHeight="1">
      <c r="A218" s="13"/>
      <c r="B218" s="13"/>
      <c r="C218" s="13"/>
      <c r="D218" s="13"/>
      <c r="E218" s="23"/>
      <c r="F218" s="2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row>
    <row r="219" spans="1:54" ht="15.75" customHeight="1">
      <c r="A219" s="13"/>
      <c r="B219" s="13"/>
      <c r="C219" s="13"/>
      <c r="D219" s="13"/>
      <c r="E219" s="23"/>
      <c r="F219" s="2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row>
    <row r="220" spans="1:54" ht="15.75" customHeight="1">
      <c r="A220" s="13"/>
      <c r="B220" s="13"/>
      <c r="C220" s="13"/>
      <c r="D220" s="13"/>
      <c r="E220" s="23"/>
      <c r="F220" s="2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row>
    <row r="221" spans="1:54" ht="15.75" customHeight="1">
      <c r="A221" s="13"/>
      <c r="B221" s="13"/>
      <c r="C221" s="13"/>
      <c r="D221" s="13"/>
      <c r="E221" s="23"/>
      <c r="F221" s="2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row>
    <row r="222" spans="1:54" ht="15.75" customHeight="1">
      <c r="A222" s="13"/>
      <c r="B222" s="13"/>
      <c r="C222" s="13"/>
      <c r="D222" s="13"/>
      <c r="E222" s="23"/>
      <c r="F222" s="2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row>
    <row r="223" spans="1:54" ht="15.75" customHeight="1">
      <c r="A223" s="13"/>
      <c r="B223" s="13"/>
      <c r="C223" s="13"/>
      <c r="D223" s="13"/>
      <c r="E223" s="23"/>
      <c r="F223" s="2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row>
    <row r="224" spans="1:54" ht="15.75" customHeight="1">
      <c r="A224" s="13"/>
      <c r="B224" s="13"/>
      <c r="C224" s="13"/>
      <c r="D224" s="13"/>
      <c r="E224" s="23"/>
      <c r="F224" s="2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row>
    <row r="225" spans="1:54" ht="15.75" customHeight="1">
      <c r="A225" s="13"/>
      <c r="B225" s="13"/>
      <c r="C225" s="13"/>
      <c r="D225" s="13"/>
      <c r="E225" s="23"/>
      <c r="F225" s="2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row>
    <row r="226" spans="1:54" ht="15.75" customHeight="1">
      <c r="A226" s="13"/>
      <c r="B226" s="13"/>
      <c r="C226" s="13"/>
      <c r="D226" s="13"/>
      <c r="E226" s="23"/>
      <c r="F226" s="2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row>
    <row r="227" spans="1:54" ht="15.75" customHeight="1">
      <c r="A227" s="13"/>
      <c r="B227" s="13"/>
      <c r="C227" s="13"/>
      <c r="D227" s="13"/>
      <c r="E227" s="23"/>
      <c r="F227" s="2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row>
    <row r="228" spans="1:54" ht="15.75" customHeight="1">
      <c r="A228" s="13"/>
      <c r="B228" s="13"/>
      <c r="C228" s="13"/>
      <c r="D228" s="13"/>
      <c r="E228" s="23"/>
      <c r="F228" s="2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row>
    <row r="229" spans="1:54" ht="15.75" customHeight="1">
      <c r="A229" s="13"/>
      <c r="B229" s="13"/>
      <c r="C229" s="13"/>
      <c r="D229" s="13"/>
      <c r="E229" s="23"/>
      <c r="F229" s="2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row>
    <row r="230" spans="1:54" ht="15.75" customHeight="1"/>
    <row r="231" spans="1:54" ht="15.75" customHeight="1"/>
    <row r="232" spans="1:54" ht="15.75" customHeight="1"/>
    <row r="233" spans="1:54" ht="15.75" customHeight="1"/>
    <row r="234" spans="1:54" ht="15.75" customHeight="1"/>
    <row r="235" spans="1:54" ht="15.75" customHeight="1"/>
    <row r="236" spans="1:54" ht="15.75" customHeight="1"/>
    <row r="237" spans="1:54" ht="15.75" customHeight="1"/>
    <row r="238" spans="1:54" ht="15.75" customHeight="1"/>
    <row r="239" spans="1:54" ht="15.75" customHeight="1"/>
    <row r="240" spans="1:5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mergeCells count="44">
    <mergeCell ref="Q2:Q3"/>
    <mergeCell ref="M2:P2"/>
    <mergeCell ref="Z2:Z3"/>
    <mergeCell ref="V2:V3"/>
    <mergeCell ref="W2:W3"/>
    <mergeCell ref="X2:X3"/>
    <mergeCell ref="S2:S3"/>
    <mergeCell ref="T2:T3"/>
    <mergeCell ref="R2:R3"/>
    <mergeCell ref="U2:U3"/>
    <mergeCell ref="Y2:Y3"/>
    <mergeCell ref="A1:A3"/>
    <mergeCell ref="G2:G3"/>
    <mergeCell ref="H2:H3"/>
    <mergeCell ref="I2:I3"/>
    <mergeCell ref="J2:J3"/>
    <mergeCell ref="K1:P1"/>
    <mergeCell ref="B1:B3"/>
    <mergeCell ref="C1:C3"/>
    <mergeCell ref="D1:D3"/>
    <mergeCell ref="E1:E3"/>
    <mergeCell ref="G1:J1"/>
    <mergeCell ref="F1:F3"/>
    <mergeCell ref="K2:K3"/>
    <mergeCell ref="L2:L3"/>
    <mergeCell ref="Q1:R1"/>
    <mergeCell ref="U1:V1"/>
    <mergeCell ref="W1:Y1"/>
    <mergeCell ref="Z1:AD1"/>
    <mergeCell ref="S1:T1"/>
    <mergeCell ref="AM1:AM3"/>
    <mergeCell ref="AN1:AN3"/>
    <mergeCell ref="AA2:AA3"/>
    <mergeCell ref="AB2:AC2"/>
    <mergeCell ref="AD2:AD3"/>
    <mergeCell ref="AE2:AE3"/>
    <mergeCell ref="AF2:AF3"/>
    <mergeCell ref="AE1:AF1"/>
    <mergeCell ref="AG1:AG3"/>
    <mergeCell ref="AH1:AH3"/>
    <mergeCell ref="AI1:AI3"/>
    <mergeCell ref="AJ1:AJ3"/>
    <mergeCell ref="AK1:AK3"/>
    <mergeCell ref="AL1:AL3"/>
  </mergeCells>
  <conditionalFormatting sqref="K2:L2 M3:P3">
    <cfRule type="colorScale" priority="1">
      <colorScale>
        <cfvo type="min"/>
        <cfvo type="max"/>
        <color rgb="FFFFFFFF"/>
        <color rgb="FF57BB8A"/>
      </colorScale>
    </cfRule>
  </conditionalFormatting>
  <dataValidations count="3">
    <dataValidation type="list" allowBlank="1" showErrorMessage="1" sqref="E4:E17" xr:uid="{00000000-0002-0000-0000-000000000000}">
      <formula1>"Positive,Negative"</formula1>
    </dataValidation>
    <dataValidation type="list" allowBlank="1" showErrorMessage="1" sqref="AK4:AL17" xr:uid="{00000000-0002-0000-0000-000001000000}">
      <formula1>"Not Start,Inprogress,Failed,Passed,Skip"</formula1>
    </dataValidation>
    <dataValidation type="list" allowBlank="1" showErrorMessage="1" sqref="F4:F17" xr:uid="{1C873962-D98C-42E1-AEF7-C9F880A1FE16}">
      <formula1>"Online Channel,Offline Channel(Regression)"</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CBD05-F79C-4D44-9BA9-38BE634C8B3C}">
  <dimension ref="A1"/>
  <sheetViews>
    <sheetView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38CE2-03FF-4533-A8A0-15FCEE9BBCF2}">
  <sheetPr>
    <tabColor rgb="FF00FFFF"/>
    <outlinePr summaryBelow="0" summaryRight="0"/>
  </sheetPr>
  <dimension ref="A1:BF982"/>
  <sheetViews>
    <sheetView tabSelected="1" workbookViewId="0">
      <pane xSplit="9" topLeftCell="AM15" activePane="topRight" state="frozen"/>
      <selection pane="topRight" activeCell="AO31" sqref="AO31"/>
    </sheetView>
  </sheetViews>
  <sheetFormatPr defaultColWidth="14.42578125" defaultRowHeight="15" customHeight="1"/>
  <cols>
    <col min="1" max="2" width="20" hidden="1" customWidth="1"/>
    <col min="3" max="3" width="16.85546875" hidden="1" customWidth="1"/>
    <col min="4" max="4" width="12.5703125" customWidth="1"/>
    <col min="5" max="5" width="18.42578125" customWidth="1"/>
    <col min="6" max="6" width="12.5703125" customWidth="1"/>
    <col min="7" max="7" width="18.42578125" customWidth="1"/>
    <col min="8" max="8" width="16.7109375" customWidth="1"/>
    <col min="9" max="9" width="41.42578125" customWidth="1"/>
    <col min="10" max="10" width="11.42578125" customWidth="1"/>
    <col min="11" max="14" width="6.7109375" customWidth="1"/>
    <col min="15" max="15" width="8.85546875" customWidth="1"/>
    <col min="16" max="16" width="8.28515625" customWidth="1"/>
    <col min="17" max="17" width="7.85546875" customWidth="1"/>
    <col min="18" max="18" width="8.5703125" customWidth="1"/>
    <col min="19" max="19" width="7.7109375" customWidth="1"/>
    <col min="20" max="20" width="5.28515625" customWidth="1"/>
    <col min="21" max="21" width="6" customWidth="1"/>
    <col min="22" max="24" width="8.28515625" customWidth="1"/>
    <col min="25" max="25" width="13.7109375" customWidth="1"/>
    <col min="26" max="26" width="13.42578125" customWidth="1"/>
    <col min="27" max="27" width="7" customWidth="1"/>
    <col min="28" max="28" width="9.28515625" customWidth="1"/>
    <col min="29" max="29" width="8.28515625" customWidth="1"/>
    <col min="30" max="31" width="5.85546875" customWidth="1"/>
    <col min="32" max="33" width="8.7109375" customWidth="1"/>
    <col min="34" max="34" width="13.28515625" customWidth="1"/>
    <col min="35" max="35" width="5.28515625" customWidth="1"/>
    <col min="36" max="36" width="14.42578125" customWidth="1"/>
    <col min="37" max="37" width="57.28515625" customWidth="1"/>
    <col min="38" max="38" width="68.85546875" customWidth="1"/>
    <col min="39" max="39" width="20.85546875" customWidth="1"/>
    <col min="40" max="40" width="20.140625" customWidth="1"/>
    <col min="41" max="42" width="14.28515625" customWidth="1"/>
    <col min="43" max="43" width="47.28515625" customWidth="1"/>
    <col min="44" max="44" width="12.85546875" customWidth="1"/>
    <col min="45" max="58" width="12.7109375" customWidth="1"/>
  </cols>
  <sheetData>
    <row r="1" spans="1:58" ht="42" customHeight="1">
      <c r="A1" s="87" t="s">
        <v>0</v>
      </c>
      <c r="B1" s="87" t="s">
        <v>108</v>
      </c>
      <c r="C1" s="87" t="s">
        <v>1</v>
      </c>
      <c r="D1" s="89" t="s">
        <v>109</v>
      </c>
      <c r="E1" s="90"/>
      <c r="F1" s="89" t="s">
        <v>110</v>
      </c>
      <c r="G1" s="90"/>
      <c r="H1" s="87" t="s">
        <v>2</v>
      </c>
      <c r="I1" s="87" t="s">
        <v>3</v>
      </c>
      <c r="J1" s="87" t="s">
        <v>4</v>
      </c>
      <c r="K1" s="99" t="s">
        <v>6</v>
      </c>
      <c r="L1" s="136"/>
      <c r="M1" s="136"/>
      <c r="N1" s="136"/>
      <c r="O1" s="100" t="s">
        <v>7</v>
      </c>
      <c r="P1" s="137"/>
      <c r="Q1" s="137"/>
      <c r="R1" s="137"/>
      <c r="S1" s="137"/>
      <c r="T1" s="137"/>
      <c r="U1" s="101" t="s">
        <v>8</v>
      </c>
      <c r="V1" s="127"/>
      <c r="W1" s="102" t="s">
        <v>9</v>
      </c>
      <c r="X1" s="103"/>
      <c r="Y1" s="104" t="s">
        <v>10</v>
      </c>
      <c r="Z1" s="128"/>
      <c r="AA1" s="104" t="s">
        <v>11</v>
      </c>
      <c r="AB1" s="129"/>
      <c r="AC1" s="128"/>
      <c r="AD1" s="104" t="s">
        <v>12</v>
      </c>
      <c r="AE1" s="129"/>
      <c r="AF1" s="129"/>
      <c r="AG1" s="129"/>
      <c r="AH1" s="128"/>
      <c r="AI1" s="104" t="s">
        <v>13</v>
      </c>
      <c r="AJ1" s="128"/>
      <c r="AK1" s="87" t="s">
        <v>14</v>
      </c>
      <c r="AL1" s="87" t="s">
        <v>15</v>
      </c>
      <c r="AM1" s="87" t="s">
        <v>16</v>
      </c>
      <c r="AN1" s="87" t="s">
        <v>17</v>
      </c>
      <c r="AO1" s="115" t="s">
        <v>18</v>
      </c>
      <c r="AP1" s="115" t="s">
        <v>19</v>
      </c>
      <c r="AQ1" s="87" t="s">
        <v>20</v>
      </c>
      <c r="AR1" s="87" t="s">
        <v>21</v>
      </c>
      <c r="AS1" s="1"/>
      <c r="AT1" s="1"/>
      <c r="AU1" s="1"/>
      <c r="AV1" s="1"/>
      <c r="AW1" s="1"/>
      <c r="AX1" s="1"/>
      <c r="AY1" s="1"/>
      <c r="AZ1" s="1"/>
      <c r="BA1" s="1"/>
      <c r="BB1" s="1"/>
      <c r="BC1" s="1"/>
      <c r="BD1" s="1"/>
      <c r="BE1" s="1"/>
      <c r="BF1" s="1"/>
    </row>
    <row r="2" spans="1:58" ht="33.75" customHeight="1">
      <c r="A2" s="130"/>
      <c r="B2" s="88"/>
      <c r="C2" s="130"/>
      <c r="D2" s="91"/>
      <c r="E2" s="92"/>
      <c r="F2" s="91"/>
      <c r="G2" s="92"/>
      <c r="H2" s="130"/>
      <c r="I2" s="130"/>
      <c r="J2" s="138"/>
      <c r="K2" s="105" t="s">
        <v>22</v>
      </c>
      <c r="L2" s="106" t="s">
        <v>23</v>
      </c>
      <c r="M2" s="106" t="s">
        <v>24</v>
      </c>
      <c r="N2" s="107" t="s">
        <v>25</v>
      </c>
      <c r="O2" s="108" t="s">
        <v>26</v>
      </c>
      <c r="P2" s="110" t="s">
        <v>27</v>
      </c>
      <c r="Q2" s="93" t="s">
        <v>28</v>
      </c>
      <c r="R2" s="94"/>
      <c r="S2" s="94"/>
      <c r="T2" s="94"/>
      <c r="U2" s="95" t="s">
        <v>29</v>
      </c>
      <c r="V2" s="96" t="s">
        <v>30</v>
      </c>
      <c r="W2" s="97" t="s">
        <v>31</v>
      </c>
      <c r="X2" s="98" t="s">
        <v>32</v>
      </c>
      <c r="Y2" s="113" t="s">
        <v>33</v>
      </c>
      <c r="Z2" s="112" t="s">
        <v>34</v>
      </c>
      <c r="AA2" s="114" t="s">
        <v>35</v>
      </c>
      <c r="AB2" s="114" t="s">
        <v>36</v>
      </c>
      <c r="AC2" s="114" t="s">
        <v>37</v>
      </c>
      <c r="AD2" s="112" t="s">
        <v>38</v>
      </c>
      <c r="AE2" s="112" t="s">
        <v>39</v>
      </c>
      <c r="AF2" s="111" t="s">
        <v>40</v>
      </c>
      <c r="AG2" s="127"/>
      <c r="AH2" s="112" t="s">
        <v>41</v>
      </c>
      <c r="AI2" s="112" t="s">
        <v>29</v>
      </c>
      <c r="AJ2" s="112" t="s">
        <v>30</v>
      </c>
      <c r="AK2" s="130"/>
      <c r="AL2" s="130"/>
      <c r="AM2" s="88"/>
      <c r="AN2" s="130"/>
      <c r="AO2" s="130"/>
      <c r="AP2" s="130"/>
      <c r="AQ2" s="130"/>
      <c r="AR2" s="130"/>
      <c r="AS2" s="2"/>
      <c r="AT2" s="2"/>
      <c r="AU2" s="2"/>
      <c r="AV2" s="2"/>
      <c r="AW2" s="2"/>
      <c r="AX2" s="2"/>
      <c r="AY2" s="2"/>
      <c r="AZ2" s="2"/>
      <c r="BA2" s="2"/>
      <c r="BB2" s="2"/>
      <c r="BC2" s="2"/>
      <c r="BD2" s="2"/>
      <c r="BE2" s="2"/>
      <c r="BF2" s="2"/>
    </row>
    <row r="3" spans="1:58" ht="54.75" customHeight="1">
      <c r="A3" s="130"/>
      <c r="B3" s="88"/>
      <c r="C3" s="130"/>
      <c r="D3" s="51" t="s">
        <v>111</v>
      </c>
      <c r="E3" s="51" t="s">
        <v>112</v>
      </c>
      <c r="F3" s="51" t="s">
        <v>111</v>
      </c>
      <c r="G3" s="51" t="s">
        <v>112</v>
      </c>
      <c r="H3" s="131"/>
      <c r="I3" s="131"/>
      <c r="J3" s="138"/>
      <c r="K3" s="139"/>
      <c r="L3" s="140"/>
      <c r="M3" s="140"/>
      <c r="N3" s="141"/>
      <c r="O3" s="109"/>
      <c r="P3" s="100"/>
      <c r="Q3" s="29" t="s">
        <v>42</v>
      </c>
      <c r="R3" s="27" t="s">
        <v>43</v>
      </c>
      <c r="S3" s="27" t="s">
        <v>44</v>
      </c>
      <c r="T3" s="28" t="s">
        <v>45</v>
      </c>
      <c r="U3" s="131"/>
      <c r="V3" s="134"/>
      <c r="W3" s="97"/>
      <c r="X3" s="98"/>
      <c r="Y3" s="135"/>
      <c r="Z3" s="131"/>
      <c r="AA3" s="131"/>
      <c r="AB3" s="131"/>
      <c r="AC3" s="131"/>
      <c r="AD3" s="131"/>
      <c r="AE3" s="131"/>
      <c r="AF3" s="3" t="s">
        <v>46</v>
      </c>
      <c r="AG3" s="3" t="s">
        <v>47</v>
      </c>
      <c r="AH3" s="131"/>
      <c r="AI3" s="131"/>
      <c r="AJ3" s="131"/>
      <c r="AK3" s="131"/>
      <c r="AL3" s="131"/>
      <c r="AM3" s="131"/>
      <c r="AN3" s="131"/>
      <c r="AO3" s="131"/>
      <c r="AP3" s="131"/>
      <c r="AQ3" s="131"/>
      <c r="AR3" s="131"/>
      <c r="AS3" s="2"/>
      <c r="AT3" s="2"/>
      <c r="AU3" s="2"/>
      <c r="AV3" s="2"/>
      <c r="AW3" s="2"/>
      <c r="AX3" s="2"/>
      <c r="AY3" s="2"/>
      <c r="AZ3" s="2"/>
      <c r="BA3" s="2"/>
      <c r="BB3" s="2"/>
      <c r="BC3" s="2"/>
      <c r="BD3" s="2"/>
      <c r="BE3" s="2"/>
      <c r="BF3" s="2"/>
    </row>
    <row r="4" spans="1:58" ht="71.25" customHeight="1">
      <c r="A4" s="37" t="s">
        <v>48</v>
      </c>
      <c r="B4" s="55" t="s">
        <v>113</v>
      </c>
      <c r="C4" s="37" t="s">
        <v>49</v>
      </c>
      <c r="D4" s="65" t="s">
        <v>102</v>
      </c>
      <c r="E4" s="79" t="s">
        <v>114</v>
      </c>
      <c r="F4" s="65" t="s">
        <v>103</v>
      </c>
      <c r="G4" s="79" t="s">
        <v>115</v>
      </c>
      <c r="H4" s="5" t="s">
        <v>50</v>
      </c>
      <c r="I4" s="44" t="s">
        <v>51</v>
      </c>
      <c r="J4" s="37" t="s">
        <v>52</v>
      </c>
      <c r="K4" s="59" t="s">
        <v>54</v>
      </c>
      <c r="L4" s="58" t="s">
        <v>54</v>
      </c>
      <c r="M4" s="58"/>
      <c r="N4" s="60"/>
      <c r="O4" s="32" t="s">
        <v>54</v>
      </c>
      <c r="P4" s="32"/>
      <c r="Q4" s="33"/>
      <c r="R4" s="33"/>
      <c r="S4" s="33"/>
      <c r="T4" s="33"/>
      <c r="U4" s="32" t="s">
        <v>54</v>
      </c>
      <c r="V4" s="32"/>
      <c r="W4" s="33"/>
      <c r="X4" s="33"/>
      <c r="Y4" s="33"/>
      <c r="Z4" s="33"/>
      <c r="AA4" s="33"/>
      <c r="AB4" s="33"/>
      <c r="AC4" s="33"/>
      <c r="AD4" s="33"/>
      <c r="AE4" s="33"/>
      <c r="AF4" s="33"/>
      <c r="AG4" s="33"/>
      <c r="AH4" s="33"/>
      <c r="AI4" s="33"/>
      <c r="AJ4" s="33"/>
      <c r="AK4" s="24" t="s">
        <v>55</v>
      </c>
      <c r="AL4" s="6" t="s">
        <v>56</v>
      </c>
      <c r="AM4" s="7" t="s">
        <v>57</v>
      </c>
      <c r="AN4" s="7" t="s">
        <v>116</v>
      </c>
      <c r="AO4" s="54" t="s">
        <v>117</v>
      </c>
      <c r="AP4" s="54" t="s">
        <v>117</v>
      </c>
      <c r="AQ4" s="8"/>
      <c r="AR4" s="9"/>
      <c r="AT4" s="10"/>
      <c r="AU4" s="10"/>
      <c r="AV4" s="10"/>
      <c r="AW4" s="10"/>
      <c r="AX4" s="10"/>
      <c r="AY4" s="10"/>
      <c r="AZ4" s="10"/>
      <c r="BA4" s="10"/>
      <c r="BB4" s="10"/>
      <c r="BC4" s="10"/>
      <c r="BD4" s="10"/>
      <c r="BE4" s="10"/>
      <c r="BF4" s="10"/>
    </row>
    <row r="5" spans="1:58" ht="96.75" customHeight="1">
      <c r="A5" s="56" t="s">
        <v>48</v>
      </c>
      <c r="B5" s="55" t="s">
        <v>113</v>
      </c>
      <c r="C5" s="37" t="s">
        <v>49</v>
      </c>
      <c r="D5" s="65" t="s">
        <v>102</v>
      </c>
      <c r="E5" s="79" t="s">
        <v>118</v>
      </c>
      <c r="F5" s="65" t="s">
        <v>103</v>
      </c>
      <c r="G5" s="79" t="s">
        <v>119</v>
      </c>
      <c r="H5" s="5" t="s">
        <v>59</v>
      </c>
      <c r="I5" s="44" t="s">
        <v>60</v>
      </c>
      <c r="J5" s="37" t="s">
        <v>52</v>
      </c>
      <c r="K5" s="59" t="s">
        <v>54</v>
      </c>
      <c r="L5" s="58" t="s">
        <v>54</v>
      </c>
      <c r="M5" s="58" t="s">
        <v>54</v>
      </c>
      <c r="N5" s="60" t="s">
        <v>54</v>
      </c>
      <c r="O5" s="32"/>
      <c r="P5" s="32" t="s">
        <v>54</v>
      </c>
      <c r="Q5" s="33"/>
      <c r="R5" s="33"/>
      <c r="S5" s="33"/>
      <c r="T5" s="33"/>
      <c r="U5" s="32" t="s">
        <v>54</v>
      </c>
      <c r="V5" s="32"/>
      <c r="W5" s="33"/>
      <c r="X5" s="33"/>
      <c r="Y5" s="33"/>
      <c r="Z5" s="33"/>
      <c r="AA5" s="33"/>
      <c r="AB5" s="33"/>
      <c r="AC5" s="33"/>
      <c r="AD5" s="33"/>
      <c r="AE5" s="33"/>
      <c r="AF5" s="33"/>
      <c r="AG5" s="33"/>
      <c r="AH5" s="33"/>
      <c r="AI5" s="33"/>
      <c r="AJ5" s="33"/>
      <c r="AK5" s="24" t="s">
        <v>61</v>
      </c>
      <c r="AL5" s="35" t="s">
        <v>56</v>
      </c>
      <c r="AM5" s="7" t="s">
        <v>57</v>
      </c>
      <c r="AN5" s="7" t="s">
        <v>116</v>
      </c>
      <c r="AO5" s="54" t="s">
        <v>117</v>
      </c>
      <c r="AP5" s="54" t="s">
        <v>117</v>
      </c>
      <c r="AQ5" s="8"/>
      <c r="AR5" s="9"/>
      <c r="AS5" s="10"/>
      <c r="AT5" s="10"/>
      <c r="AU5" s="10"/>
      <c r="AV5" s="10"/>
      <c r="AW5" s="10"/>
      <c r="AX5" s="10"/>
      <c r="AY5" s="10"/>
      <c r="AZ5" s="10"/>
      <c r="BA5" s="10"/>
      <c r="BB5" s="10"/>
      <c r="BC5" s="10"/>
      <c r="BD5" s="10"/>
      <c r="BE5" s="10"/>
      <c r="BF5" s="10"/>
    </row>
    <row r="6" spans="1:58" ht="147.75" customHeight="1">
      <c r="A6" s="37" t="s">
        <v>120</v>
      </c>
      <c r="B6" s="55" t="s">
        <v>121</v>
      </c>
      <c r="C6" s="37" t="s">
        <v>49</v>
      </c>
      <c r="D6" s="65" t="s">
        <v>102</v>
      </c>
      <c r="E6" s="79" t="s">
        <v>118</v>
      </c>
      <c r="F6" s="65" t="s">
        <v>103</v>
      </c>
      <c r="G6" s="79" t="s">
        <v>122</v>
      </c>
      <c r="H6" s="5" t="s">
        <v>62</v>
      </c>
      <c r="I6" s="44" t="s">
        <v>123</v>
      </c>
      <c r="J6" s="37" t="s">
        <v>52</v>
      </c>
      <c r="K6" s="59" t="s">
        <v>54</v>
      </c>
      <c r="L6" s="58" t="s">
        <v>54</v>
      </c>
      <c r="M6" s="58"/>
      <c r="N6" s="60"/>
      <c r="O6" s="32" t="s">
        <v>54</v>
      </c>
      <c r="P6" s="32"/>
      <c r="Q6" s="33"/>
      <c r="R6" s="33"/>
      <c r="S6" s="33"/>
      <c r="T6" s="33"/>
      <c r="U6" s="32"/>
      <c r="V6" s="32" t="s">
        <v>54</v>
      </c>
      <c r="W6" s="32" t="s">
        <v>54</v>
      </c>
      <c r="X6" s="32" t="s">
        <v>54</v>
      </c>
      <c r="Y6" s="33"/>
      <c r="Z6" s="33"/>
      <c r="AA6" s="33"/>
      <c r="AB6" s="33"/>
      <c r="AC6" s="33"/>
      <c r="AD6" s="33"/>
      <c r="AE6" s="33"/>
      <c r="AF6" s="33"/>
      <c r="AG6" s="33"/>
      <c r="AH6" s="33"/>
      <c r="AI6" s="33"/>
      <c r="AJ6" s="33"/>
      <c r="AK6" s="24" t="s">
        <v>55</v>
      </c>
      <c r="AL6" s="8" t="s">
        <v>124</v>
      </c>
      <c r="AM6" s="7" t="s">
        <v>57</v>
      </c>
      <c r="AN6" s="7" t="s">
        <v>116</v>
      </c>
      <c r="AO6" s="57" t="s">
        <v>117</v>
      </c>
      <c r="AP6" s="57" t="s">
        <v>117</v>
      </c>
      <c r="AQ6" s="64" t="s">
        <v>125</v>
      </c>
      <c r="AR6" s="9"/>
      <c r="AS6" s="10"/>
      <c r="AT6" s="10"/>
      <c r="AU6" s="10"/>
      <c r="AV6" s="10"/>
      <c r="AW6" s="10"/>
      <c r="AX6" s="10"/>
      <c r="AY6" s="10"/>
      <c r="AZ6" s="10"/>
      <c r="BA6" s="10"/>
      <c r="BB6" s="10"/>
      <c r="BC6" s="10"/>
      <c r="BD6" s="10"/>
      <c r="BE6" s="10"/>
      <c r="BF6" s="10"/>
    </row>
    <row r="7" spans="1:58" ht="123.75" customHeight="1">
      <c r="A7" s="37" t="s">
        <v>120</v>
      </c>
      <c r="B7" s="55" t="s">
        <v>121</v>
      </c>
      <c r="C7" s="37" t="s">
        <v>49</v>
      </c>
      <c r="D7" s="65" t="s">
        <v>102</v>
      </c>
      <c r="E7" s="79" t="s">
        <v>126</v>
      </c>
      <c r="F7" s="70" t="s">
        <v>103</v>
      </c>
      <c r="G7" s="79" t="s">
        <v>127</v>
      </c>
      <c r="H7" s="5" t="s">
        <v>65</v>
      </c>
      <c r="I7" s="44" t="s">
        <v>128</v>
      </c>
      <c r="J7" s="37" t="s">
        <v>52</v>
      </c>
      <c r="K7" s="59" t="s">
        <v>54</v>
      </c>
      <c r="L7" s="58" t="s">
        <v>54</v>
      </c>
      <c r="M7" s="58" t="s">
        <v>54</v>
      </c>
      <c r="N7" s="60" t="s">
        <v>54</v>
      </c>
      <c r="O7" s="32"/>
      <c r="P7" s="32" t="s">
        <v>54</v>
      </c>
      <c r="Q7" s="33"/>
      <c r="R7" s="33"/>
      <c r="S7" s="33"/>
      <c r="T7" s="33"/>
      <c r="U7" s="32"/>
      <c r="V7" s="32" t="s">
        <v>54</v>
      </c>
      <c r="W7" s="32" t="s">
        <v>54</v>
      </c>
      <c r="X7" s="32" t="s">
        <v>54</v>
      </c>
      <c r="Y7" s="33"/>
      <c r="Z7" s="33"/>
      <c r="AA7" s="33"/>
      <c r="AB7" s="33"/>
      <c r="AC7" s="33"/>
      <c r="AD7" s="33"/>
      <c r="AE7" s="33"/>
      <c r="AF7" s="33"/>
      <c r="AG7" s="33"/>
      <c r="AH7" s="33"/>
      <c r="AI7" s="33"/>
      <c r="AJ7" s="33"/>
      <c r="AK7" s="24" t="s">
        <v>61</v>
      </c>
      <c r="AL7" s="8" t="s">
        <v>124</v>
      </c>
      <c r="AM7" s="7" t="s">
        <v>57</v>
      </c>
      <c r="AN7" s="7" t="s">
        <v>116</v>
      </c>
      <c r="AO7" s="57" t="s">
        <v>117</v>
      </c>
      <c r="AP7" s="57" t="s">
        <v>117</v>
      </c>
      <c r="AQ7" s="8"/>
      <c r="AR7" s="9"/>
      <c r="AS7" s="10"/>
      <c r="AT7" s="10"/>
      <c r="AU7" s="10"/>
      <c r="AV7" s="10"/>
      <c r="AW7" s="10"/>
      <c r="AX7" s="10"/>
      <c r="AY7" s="10"/>
      <c r="AZ7" s="10"/>
      <c r="BA7" s="10"/>
      <c r="BB7" s="10"/>
      <c r="BC7" s="10"/>
      <c r="BD7" s="10"/>
      <c r="BE7" s="10"/>
      <c r="BF7" s="10"/>
    </row>
    <row r="8" spans="1:58" ht="165.75" customHeight="1">
      <c r="A8" s="37" t="s">
        <v>120</v>
      </c>
      <c r="B8" s="55" t="s">
        <v>121</v>
      </c>
      <c r="C8" s="37" t="s">
        <v>49</v>
      </c>
      <c r="D8" s="80" t="s">
        <v>102</v>
      </c>
      <c r="E8" s="82" t="s">
        <v>129</v>
      </c>
      <c r="F8" s="70" t="s">
        <v>103</v>
      </c>
      <c r="G8" s="53" t="s">
        <v>130</v>
      </c>
      <c r="H8" s="5" t="s">
        <v>68</v>
      </c>
      <c r="I8" s="45" t="s">
        <v>73</v>
      </c>
      <c r="J8" s="37" t="s">
        <v>52</v>
      </c>
      <c r="K8" s="59" t="s">
        <v>54</v>
      </c>
      <c r="L8" s="58" t="s">
        <v>54</v>
      </c>
      <c r="M8" s="58"/>
      <c r="N8" s="60"/>
      <c r="O8" s="32" t="s">
        <v>54</v>
      </c>
      <c r="P8" s="32"/>
      <c r="Q8" s="33"/>
      <c r="R8" s="33"/>
      <c r="S8" s="33"/>
      <c r="T8" s="33"/>
      <c r="U8" s="32"/>
      <c r="V8" s="32" t="s">
        <v>54</v>
      </c>
      <c r="W8" s="32"/>
      <c r="X8" s="32"/>
      <c r="Y8" s="32" t="s">
        <v>54</v>
      </c>
      <c r="Z8" s="32"/>
      <c r="AA8" s="32" t="s">
        <v>54</v>
      </c>
      <c r="AB8" s="32"/>
      <c r="AC8" s="32"/>
      <c r="AD8" s="32" t="s">
        <v>74</v>
      </c>
      <c r="AE8" s="32"/>
      <c r="AF8" s="32"/>
      <c r="AG8" s="32"/>
      <c r="AH8" s="32"/>
      <c r="AI8" s="32" t="s">
        <v>54</v>
      </c>
      <c r="AJ8" s="32"/>
      <c r="AK8" s="24" t="s">
        <v>75</v>
      </c>
      <c r="AL8" s="6" t="s">
        <v>76</v>
      </c>
      <c r="AM8" s="7" t="s">
        <v>57</v>
      </c>
      <c r="AN8" s="7" t="s">
        <v>57</v>
      </c>
      <c r="AO8" s="57" t="s">
        <v>117</v>
      </c>
      <c r="AP8" s="57" t="s">
        <v>117</v>
      </c>
      <c r="AQ8" s="69" t="s">
        <v>131</v>
      </c>
      <c r="AR8" s="9"/>
      <c r="AS8" s="10"/>
      <c r="AT8" s="10"/>
      <c r="AU8" s="10"/>
      <c r="AV8" s="10"/>
      <c r="AW8" s="10"/>
      <c r="AX8" s="10"/>
      <c r="AY8" s="10"/>
      <c r="AZ8" s="10"/>
      <c r="BA8" s="10"/>
      <c r="BB8" s="10"/>
      <c r="BC8" s="10"/>
      <c r="BD8" s="10"/>
      <c r="BE8" s="10"/>
      <c r="BF8" s="10"/>
    </row>
    <row r="9" spans="1:58" ht="168.75" customHeight="1">
      <c r="A9" s="37" t="s">
        <v>120</v>
      </c>
      <c r="B9" s="55" t="s">
        <v>121</v>
      </c>
      <c r="C9" s="4" t="s">
        <v>49</v>
      </c>
      <c r="D9" s="81" t="s">
        <v>102</v>
      </c>
      <c r="E9" s="122" t="s">
        <v>132</v>
      </c>
      <c r="F9" s="65" t="s">
        <v>103</v>
      </c>
      <c r="G9" s="53" t="s">
        <v>130</v>
      </c>
      <c r="H9" s="5" t="s">
        <v>70</v>
      </c>
      <c r="I9" s="45" t="s">
        <v>133</v>
      </c>
      <c r="J9" s="38" t="s">
        <v>80</v>
      </c>
      <c r="K9" s="59" t="s">
        <v>54</v>
      </c>
      <c r="L9" s="58" t="s">
        <v>54</v>
      </c>
      <c r="M9" s="58" t="s">
        <v>54</v>
      </c>
      <c r="N9" s="60" t="s">
        <v>54</v>
      </c>
      <c r="O9" s="32"/>
      <c r="P9" s="32" t="s">
        <v>54</v>
      </c>
      <c r="Q9" s="33"/>
      <c r="R9" s="33"/>
      <c r="S9" s="33"/>
      <c r="T9" s="33"/>
      <c r="U9" s="32"/>
      <c r="V9" s="32" t="s">
        <v>54</v>
      </c>
      <c r="W9" s="32"/>
      <c r="X9" s="32"/>
      <c r="Y9" s="32" t="s">
        <v>74</v>
      </c>
      <c r="Z9" s="32"/>
      <c r="AA9" s="32" t="s">
        <v>54</v>
      </c>
      <c r="AB9" s="32"/>
      <c r="AC9" s="32"/>
      <c r="AD9" s="32" t="s">
        <v>54</v>
      </c>
      <c r="AE9" s="32"/>
      <c r="AF9" s="32"/>
      <c r="AG9" s="32"/>
      <c r="AH9" s="32"/>
      <c r="AI9" s="32"/>
      <c r="AJ9" s="32" t="s">
        <v>54</v>
      </c>
      <c r="AK9" s="24" t="s">
        <v>81</v>
      </c>
      <c r="AL9" s="6" t="s">
        <v>134</v>
      </c>
      <c r="AM9" s="7" t="s">
        <v>57</v>
      </c>
      <c r="AN9" s="7" t="s">
        <v>57</v>
      </c>
      <c r="AO9" s="57" t="s">
        <v>117</v>
      </c>
      <c r="AP9" s="57" t="s">
        <v>117</v>
      </c>
      <c r="AQ9" s="64" t="s">
        <v>135</v>
      </c>
      <c r="AR9" s="9"/>
      <c r="AS9" s="10"/>
      <c r="AT9" s="10"/>
      <c r="AU9" s="10"/>
      <c r="AV9" s="10"/>
      <c r="AW9" s="10"/>
      <c r="AX9" s="10"/>
      <c r="AY9" s="10"/>
      <c r="AZ9" s="10"/>
      <c r="BA9" s="10"/>
      <c r="BB9" s="10"/>
      <c r="BC9" s="10"/>
      <c r="BD9" s="10"/>
      <c r="BE9" s="10"/>
      <c r="BF9" s="10"/>
    </row>
    <row r="10" spans="1:58" ht="214.5" customHeight="1">
      <c r="A10" s="37" t="s">
        <v>120</v>
      </c>
      <c r="B10" s="55" t="s">
        <v>121</v>
      </c>
      <c r="C10" s="37" t="s">
        <v>49</v>
      </c>
      <c r="D10" s="70" t="s">
        <v>102</v>
      </c>
      <c r="E10" s="83" t="s">
        <v>129</v>
      </c>
      <c r="F10" s="84" t="s">
        <v>103</v>
      </c>
      <c r="G10" s="53" t="s">
        <v>130</v>
      </c>
      <c r="H10" s="5" t="s">
        <v>72</v>
      </c>
      <c r="I10" s="45" t="s">
        <v>136</v>
      </c>
      <c r="J10" s="37" t="s">
        <v>52</v>
      </c>
      <c r="K10" s="59" t="s">
        <v>54</v>
      </c>
      <c r="L10" s="58" t="s">
        <v>54</v>
      </c>
      <c r="M10" s="58" t="s">
        <v>54</v>
      </c>
      <c r="N10" s="60" t="s">
        <v>54</v>
      </c>
      <c r="O10" s="32" t="s">
        <v>54</v>
      </c>
      <c r="P10" s="32"/>
      <c r="Q10" s="33"/>
      <c r="R10" s="33"/>
      <c r="S10" s="33"/>
      <c r="T10" s="33"/>
      <c r="U10" s="32"/>
      <c r="V10" s="32" t="s">
        <v>54</v>
      </c>
      <c r="W10" s="32"/>
      <c r="X10" s="32"/>
      <c r="Y10" s="32" t="s">
        <v>54</v>
      </c>
      <c r="Z10" s="32"/>
      <c r="AA10" s="32" t="s">
        <v>54</v>
      </c>
      <c r="AB10" s="32"/>
      <c r="AC10" s="32"/>
      <c r="AD10" s="32"/>
      <c r="AE10" s="32" t="s">
        <v>54</v>
      </c>
      <c r="AF10" s="32"/>
      <c r="AG10" s="32" t="s">
        <v>54</v>
      </c>
      <c r="AH10" s="32"/>
      <c r="AI10" s="32"/>
      <c r="AJ10" s="32"/>
      <c r="AK10" s="24" t="s">
        <v>137</v>
      </c>
      <c r="AL10" s="6" t="s">
        <v>138</v>
      </c>
      <c r="AM10" s="7" t="s">
        <v>57</v>
      </c>
      <c r="AN10" s="7" t="s">
        <v>57</v>
      </c>
      <c r="AO10" s="57" t="s">
        <v>117</v>
      </c>
      <c r="AP10" s="57" t="s">
        <v>117</v>
      </c>
      <c r="AQ10" s="69" t="s">
        <v>131</v>
      </c>
      <c r="AR10" s="9"/>
      <c r="AS10" s="10"/>
      <c r="AT10" s="10"/>
      <c r="AU10" s="10"/>
      <c r="AV10" s="10"/>
      <c r="AW10" s="10"/>
      <c r="AX10" s="10"/>
      <c r="AY10" s="10"/>
      <c r="AZ10" s="10"/>
      <c r="BA10" s="10"/>
      <c r="BB10" s="10"/>
      <c r="BC10" s="10"/>
      <c r="BD10" s="10"/>
      <c r="BE10" s="10"/>
      <c r="BF10" s="10"/>
    </row>
    <row r="11" spans="1:58" ht="223.5" customHeight="1">
      <c r="A11" s="37" t="s">
        <v>120</v>
      </c>
      <c r="B11" s="55" t="s">
        <v>121</v>
      </c>
      <c r="C11" s="37" t="s">
        <v>49</v>
      </c>
      <c r="D11" s="70" t="s">
        <v>102</v>
      </c>
      <c r="E11" s="52" t="s">
        <v>129</v>
      </c>
      <c r="F11" s="70" t="s">
        <v>103</v>
      </c>
      <c r="G11" s="53" t="s">
        <v>130</v>
      </c>
      <c r="H11" s="5" t="s">
        <v>78</v>
      </c>
      <c r="I11" s="45" t="s">
        <v>139</v>
      </c>
      <c r="J11" s="38" t="s">
        <v>80</v>
      </c>
      <c r="K11" s="59" t="s">
        <v>54</v>
      </c>
      <c r="L11" s="58" t="s">
        <v>54</v>
      </c>
      <c r="M11" s="58"/>
      <c r="N11" s="60"/>
      <c r="O11" s="32"/>
      <c r="P11" s="32" t="s">
        <v>54</v>
      </c>
      <c r="Q11" s="33"/>
      <c r="R11" s="33"/>
      <c r="S11" s="33"/>
      <c r="T11" s="33"/>
      <c r="U11" s="32"/>
      <c r="V11" s="32" t="s">
        <v>54</v>
      </c>
      <c r="W11" s="32"/>
      <c r="X11" s="32"/>
      <c r="Y11" s="32" t="s">
        <v>54</v>
      </c>
      <c r="Z11" s="32"/>
      <c r="AA11" s="32" t="s">
        <v>54</v>
      </c>
      <c r="AB11" s="32"/>
      <c r="AC11" s="32"/>
      <c r="AD11" s="32"/>
      <c r="AE11" s="32" t="s">
        <v>54</v>
      </c>
      <c r="AF11" s="32" t="s">
        <v>54</v>
      </c>
      <c r="AG11" s="32"/>
      <c r="AH11" s="32"/>
      <c r="AI11" s="32"/>
      <c r="AJ11" s="32"/>
      <c r="AK11" s="24" t="s">
        <v>75</v>
      </c>
      <c r="AL11" s="6" t="s">
        <v>88</v>
      </c>
      <c r="AM11" s="7" t="s">
        <v>57</v>
      </c>
      <c r="AN11" s="7" t="s">
        <v>57</v>
      </c>
      <c r="AO11" s="57" t="s">
        <v>117</v>
      </c>
      <c r="AP11" s="57" t="s">
        <v>117</v>
      </c>
      <c r="AQ11" s="69" t="s">
        <v>131</v>
      </c>
      <c r="AR11" s="9"/>
      <c r="AS11" s="10"/>
      <c r="AT11" s="10"/>
      <c r="AU11" s="10"/>
      <c r="AV11" s="10"/>
      <c r="AW11" s="10"/>
      <c r="AX11" s="10"/>
      <c r="AY11" s="10"/>
      <c r="AZ11" s="10"/>
      <c r="BA11" s="10"/>
      <c r="BB11" s="10"/>
      <c r="BC11" s="10"/>
      <c r="BD11" s="10"/>
      <c r="BE11" s="10"/>
      <c r="BF11" s="10"/>
    </row>
    <row r="12" spans="1:58" ht="156" customHeight="1">
      <c r="A12" s="37" t="s">
        <v>120</v>
      </c>
      <c r="B12" s="55" t="s">
        <v>121</v>
      </c>
      <c r="C12" s="37" t="s">
        <v>49</v>
      </c>
      <c r="D12" s="70" t="s">
        <v>102</v>
      </c>
      <c r="E12" s="76" t="s">
        <v>129</v>
      </c>
      <c r="F12" s="65" t="s">
        <v>103</v>
      </c>
      <c r="G12" s="53" t="s">
        <v>130</v>
      </c>
      <c r="H12" s="5" t="s">
        <v>83</v>
      </c>
      <c r="I12" s="45" t="s">
        <v>140</v>
      </c>
      <c r="J12" s="38" t="s">
        <v>80</v>
      </c>
      <c r="K12" s="59" t="s">
        <v>54</v>
      </c>
      <c r="L12" s="58" t="s">
        <v>54</v>
      </c>
      <c r="M12" s="58" t="s">
        <v>54</v>
      </c>
      <c r="N12" s="60" t="s">
        <v>54</v>
      </c>
      <c r="O12" s="32" t="s">
        <v>54</v>
      </c>
      <c r="P12" s="32"/>
      <c r="Q12" s="33"/>
      <c r="R12" s="33"/>
      <c r="S12" s="33"/>
      <c r="T12" s="33"/>
      <c r="U12" s="32"/>
      <c r="V12" s="32" t="s">
        <v>54</v>
      </c>
      <c r="W12" s="32"/>
      <c r="X12" s="32"/>
      <c r="Y12" s="32" t="s">
        <v>54</v>
      </c>
      <c r="Z12" s="32"/>
      <c r="AA12" s="32" t="s">
        <v>54</v>
      </c>
      <c r="AB12" s="32"/>
      <c r="AC12" s="32"/>
      <c r="AD12" s="32"/>
      <c r="AE12" s="32" t="s">
        <v>54</v>
      </c>
      <c r="AF12" s="32"/>
      <c r="AG12" s="32"/>
      <c r="AH12" s="32" t="s">
        <v>54</v>
      </c>
      <c r="AI12" s="32"/>
      <c r="AJ12" s="32"/>
      <c r="AK12" s="24" t="s">
        <v>81</v>
      </c>
      <c r="AL12" s="6" t="s">
        <v>91</v>
      </c>
      <c r="AM12" s="7" t="s">
        <v>57</v>
      </c>
      <c r="AN12" s="7" t="s">
        <v>116</v>
      </c>
      <c r="AO12" s="57" t="s">
        <v>117</v>
      </c>
      <c r="AP12" s="57" t="s">
        <v>117</v>
      </c>
      <c r="AQ12" s="8" t="s">
        <v>141</v>
      </c>
      <c r="AR12" s="68"/>
      <c r="AS12" s="67"/>
      <c r="AT12" s="10"/>
      <c r="AU12" s="10"/>
      <c r="AV12" s="10"/>
      <c r="AW12" s="10"/>
      <c r="AX12" s="10"/>
      <c r="AY12" s="10"/>
      <c r="AZ12" s="10"/>
      <c r="BA12" s="10"/>
      <c r="BB12" s="10"/>
      <c r="BC12" s="10"/>
      <c r="BD12" s="10"/>
      <c r="BE12" s="10"/>
      <c r="BF12" s="10"/>
    </row>
    <row r="13" spans="1:58" ht="147.75" customHeight="1">
      <c r="A13" s="37" t="s">
        <v>120</v>
      </c>
      <c r="B13" s="55" t="s">
        <v>121</v>
      </c>
      <c r="C13" s="37" t="s">
        <v>49</v>
      </c>
      <c r="D13" s="70" t="s">
        <v>102</v>
      </c>
      <c r="E13" s="86" t="s">
        <v>142</v>
      </c>
      <c r="F13" s="84" t="s">
        <v>103</v>
      </c>
      <c r="G13" s="75" t="s">
        <v>143</v>
      </c>
      <c r="H13" s="5" t="s">
        <v>86</v>
      </c>
      <c r="I13" s="45" t="s">
        <v>93</v>
      </c>
      <c r="J13" s="38" t="s">
        <v>80</v>
      </c>
      <c r="K13" s="59" t="s">
        <v>54</v>
      </c>
      <c r="L13" s="58" t="s">
        <v>54</v>
      </c>
      <c r="M13" s="58"/>
      <c r="N13" s="60"/>
      <c r="O13" s="32"/>
      <c r="P13" s="32" t="s">
        <v>54</v>
      </c>
      <c r="Q13" s="33"/>
      <c r="R13" s="33"/>
      <c r="S13" s="33"/>
      <c r="T13" s="33"/>
      <c r="U13" s="32"/>
      <c r="V13" s="32" t="s">
        <v>54</v>
      </c>
      <c r="W13" s="32"/>
      <c r="X13" s="32"/>
      <c r="Y13" s="32" t="s">
        <v>54</v>
      </c>
      <c r="Z13" s="32"/>
      <c r="AA13" s="32"/>
      <c r="AB13" s="32"/>
      <c r="AC13" s="32" t="s">
        <v>54</v>
      </c>
      <c r="AD13" s="32"/>
      <c r="AE13" s="32"/>
      <c r="AF13" s="32"/>
      <c r="AG13" s="32"/>
      <c r="AH13" s="32"/>
      <c r="AI13" s="32"/>
      <c r="AJ13" s="32"/>
      <c r="AK13" s="24" t="s">
        <v>75</v>
      </c>
      <c r="AL13" s="11" t="s">
        <v>94</v>
      </c>
      <c r="AM13" s="7" t="s">
        <v>57</v>
      </c>
      <c r="AN13" s="7" t="s">
        <v>116</v>
      </c>
      <c r="AO13" s="57" t="s">
        <v>117</v>
      </c>
      <c r="AP13" s="57" t="s">
        <v>117</v>
      </c>
      <c r="AQ13" s="73" t="s">
        <v>144</v>
      </c>
      <c r="AR13" s="12"/>
      <c r="AS13" s="10"/>
      <c r="AT13" s="10"/>
      <c r="AU13" s="10"/>
      <c r="AV13" s="10"/>
      <c r="AW13" s="10"/>
      <c r="AX13" s="10"/>
      <c r="AY13" s="10"/>
      <c r="AZ13" s="10"/>
      <c r="BA13" s="10"/>
      <c r="BB13" s="10"/>
      <c r="BC13" s="10"/>
      <c r="BD13" s="10"/>
      <c r="BE13" s="10"/>
      <c r="BF13" s="10"/>
    </row>
    <row r="14" spans="1:58" ht="139.5" customHeight="1">
      <c r="A14" s="37" t="s">
        <v>120</v>
      </c>
      <c r="B14" s="55" t="s">
        <v>121</v>
      </c>
      <c r="C14" s="37" t="s">
        <v>49</v>
      </c>
      <c r="D14" s="65" t="s">
        <v>102</v>
      </c>
      <c r="E14" s="53" t="s">
        <v>132</v>
      </c>
      <c r="F14" s="85" t="s">
        <v>103</v>
      </c>
      <c r="G14" s="78" t="s">
        <v>145</v>
      </c>
      <c r="H14" s="5" t="s">
        <v>89</v>
      </c>
      <c r="I14" s="45" t="s">
        <v>146</v>
      </c>
      <c r="J14" s="38" t="s">
        <v>80</v>
      </c>
      <c r="K14" s="59" t="s">
        <v>54</v>
      </c>
      <c r="L14" s="58" t="s">
        <v>54</v>
      </c>
      <c r="M14" s="58" t="s">
        <v>54</v>
      </c>
      <c r="N14" s="60" t="s">
        <v>54</v>
      </c>
      <c r="O14" s="32"/>
      <c r="P14" s="32" t="s">
        <v>54</v>
      </c>
      <c r="Q14" s="33"/>
      <c r="R14" s="33"/>
      <c r="S14" s="33"/>
      <c r="T14" s="33"/>
      <c r="U14" s="32"/>
      <c r="V14" s="32" t="s">
        <v>54</v>
      </c>
      <c r="W14" s="32"/>
      <c r="X14" s="32"/>
      <c r="Y14" s="32" t="s">
        <v>54</v>
      </c>
      <c r="Z14" s="32"/>
      <c r="AA14" s="32"/>
      <c r="AB14" s="32" t="s">
        <v>54</v>
      </c>
      <c r="AC14" s="32"/>
      <c r="AD14" s="32"/>
      <c r="AE14" s="32"/>
      <c r="AF14" s="32"/>
      <c r="AG14" s="32"/>
      <c r="AH14" s="32"/>
      <c r="AI14" s="32"/>
      <c r="AJ14" s="32"/>
      <c r="AK14" s="24" t="s">
        <v>81</v>
      </c>
      <c r="AL14" s="6" t="s">
        <v>147</v>
      </c>
      <c r="AM14" s="7" t="s">
        <v>57</v>
      </c>
      <c r="AN14" s="7" t="s">
        <v>57</v>
      </c>
      <c r="AO14" s="54" t="s">
        <v>117</v>
      </c>
      <c r="AP14" s="54" t="s">
        <v>117</v>
      </c>
      <c r="AQ14" s="8" t="s">
        <v>148</v>
      </c>
      <c r="AR14" s="12"/>
      <c r="AS14" s="10"/>
      <c r="AT14" s="10"/>
      <c r="AU14" s="10"/>
      <c r="AV14" s="10"/>
      <c r="AW14" s="10"/>
      <c r="AX14" s="10"/>
      <c r="AY14" s="10"/>
      <c r="AZ14" s="10"/>
      <c r="BA14" s="10"/>
      <c r="BB14" s="10"/>
      <c r="BC14" s="10"/>
      <c r="BD14" s="10"/>
      <c r="BE14" s="10"/>
      <c r="BF14" s="10"/>
    </row>
    <row r="15" spans="1:58" ht="223.5" customHeight="1">
      <c r="A15" s="37" t="s">
        <v>120</v>
      </c>
      <c r="B15" s="55" t="s">
        <v>121</v>
      </c>
      <c r="C15" s="4" t="s">
        <v>49</v>
      </c>
      <c r="D15" s="66"/>
      <c r="E15" s="77"/>
      <c r="F15" s="77"/>
      <c r="G15" s="49"/>
      <c r="H15" s="5" t="s">
        <v>92</v>
      </c>
      <c r="I15" s="45" t="s">
        <v>99</v>
      </c>
      <c r="J15" s="38" t="s">
        <v>80</v>
      </c>
      <c r="K15" s="61" t="s">
        <v>54</v>
      </c>
      <c r="L15" s="62" t="s">
        <v>54</v>
      </c>
      <c r="M15" s="62" t="s">
        <v>54</v>
      </c>
      <c r="N15" s="63" t="s">
        <v>54</v>
      </c>
      <c r="O15" s="32"/>
      <c r="P15" s="32" t="s">
        <v>54</v>
      </c>
      <c r="Q15" s="33"/>
      <c r="R15" s="33"/>
      <c r="S15" s="33"/>
      <c r="T15" s="33"/>
      <c r="U15" s="32"/>
      <c r="V15" s="32" t="s">
        <v>54</v>
      </c>
      <c r="W15" s="32"/>
      <c r="X15" s="32"/>
      <c r="Y15" s="32"/>
      <c r="Z15" s="32" t="s">
        <v>54</v>
      </c>
      <c r="AA15" s="32"/>
      <c r="AB15" s="32"/>
      <c r="AC15" s="32"/>
      <c r="AD15" s="32"/>
      <c r="AE15" s="32"/>
      <c r="AF15" s="32"/>
      <c r="AG15" s="32"/>
      <c r="AH15" s="32"/>
      <c r="AI15" s="32"/>
      <c r="AJ15" s="32"/>
      <c r="AK15" s="24" t="s">
        <v>81</v>
      </c>
      <c r="AL15" s="6" t="s">
        <v>100</v>
      </c>
      <c r="AM15" s="7" t="s">
        <v>57</v>
      </c>
      <c r="AN15" s="7"/>
      <c r="AO15" s="74" t="s">
        <v>105</v>
      </c>
      <c r="AP15" s="74" t="s">
        <v>105</v>
      </c>
      <c r="AQ15" s="8" t="s">
        <v>149</v>
      </c>
      <c r="AR15" s="12"/>
      <c r="AS15" s="10"/>
      <c r="AT15" s="10"/>
      <c r="AU15" s="10"/>
      <c r="AV15" s="10"/>
      <c r="AW15" s="10"/>
      <c r="AX15" s="10"/>
      <c r="AY15" s="10"/>
      <c r="AZ15" s="10"/>
      <c r="BA15" s="10"/>
      <c r="BB15" s="10"/>
      <c r="BC15" s="10"/>
      <c r="BD15" s="10"/>
      <c r="BE15" s="10"/>
      <c r="BF15" s="10"/>
    </row>
    <row r="16" spans="1:58" ht="15.75" customHeight="1">
      <c r="A16" s="13"/>
      <c r="B16" s="39"/>
      <c r="C16" s="39"/>
      <c r="D16" s="50"/>
      <c r="E16" s="50"/>
      <c r="F16" s="50"/>
      <c r="G16" s="50"/>
      <c r="H16" s="13"/>
      <c r="I16" s="13"/>
      <c r="J16" s="39"/>
      <c r="K16" s="39"/>
      <c r="L16" s="39"/>
      <c r="M16" s="39"/>
      <c r="N16" s="39"/>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4"/>
      <c r="AO16" s="15"/>
      <c r="AP16" s="15"/>
      <c r="AQ16" s="13"/>
      <c r="AR16" s="13"/>
      <c r="AS16" s="13"/>
      <c r="AT16" s="13"/>
      <c r="AU16" s="13"/>
      <c r="AV16" s="13"/>
      <c r="AW16" s="13"/>
      <c r="AX16" s="13"/>
      <c r="AY16" s="13"/>
      <c r="AZ16" s="13"/>
      <c r="BA16" s="13"/>
      <c r="BB16" s="13"/>
      <c r="BC16" s="13"/>
      <c r="BD16" s="13"/>
      <c r="BE16" s="13"/>
      <c r="BF16" s="13"/>
    </row>
    <row r="17" spans="1:58" ht="15.75" customHeight="1">
      <c r="A17" s="13"/>
      <c r="B17" s="13"/>
      <c r="C17" s="13"/>
      <c r="D17" s="19"/>
      <c r="E17" s="19"/>
      <c r="F17" s="19"/>
      <c r="G17" s="19"/>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42" t="s">
        <v>101</v>
      </c>
      <c r="AO17" s="43"/>
      <c r="AP17" s="43"/>
      <c r="AQ17" s="13"/>
      <c r="AR17" s="13"/>
      <c r="AS17" s="13"/>
      <c r="AT17" s="13"/>
      <c r="AU17" s="13"/>
      <c r="AV17" s="13"/>
      <c r="AW17" s="13"/>
      <c r="AX17" s="13"/>
      <c r="AY17" s="13"/>
      <c r="AZ17" s="13"/>
      <c r="BA17" s="13"/>
      <c r="BB17" s="13"/>
      <c r="BC17" s="13"/>
      <c r="BD17" s="13"/>
      <c r="BE17" s="13"/>
      <c r="BF17" s="13"/>
    </row>
    <row r="18" spans="1:58" ht="15.75" customHeight="1">
      <c r="A18" s="13"/>
      <c r="B18" s="13"/>
      <c r="C18" s="13"/>
      <c r="D18" s="19"/>
      <c r="E18" s="19"/>
      <c r="F18" s="19"/>
      <c r="G18" s="19"/>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8"/>
      <c r="AO18" s="19"/>
      <c r="AP18" s="19"/>
      <c r="AQ18" s="13"/>
      <c r="AR18" s="13"/>
      <c r="AS18" s="13"/>
      <c r="AT18" s="13"/>
      <c r="AU18" s="13"/>
      <c r="AV18" s="13"/>
      <c r="AW18" s="13"/>
      <c r="AX18" s="13"/>
      <c r="AY18" s="13"/>
      <c r="AZ18" s="13"/>
      <c r="BA18" s="13"/>
      <c r="BB18" s="13"/>
      <c r="BC18" s="13"/>
      <c r="BD18" s="13"/>
      <c r="BE18" s="13"/>
      <c r="BF18" s="13"/>
    </row>
    <row r="19" spans="1:58" ht="15.75" customHeight="1">
      <c r="A19" s="13"/>
      <c r="B19" s="13"/>
      <c r="C19" s="13"/>
      <c r="D19" s="46"/>
      <c r="E19" s="46"/>
      <c r="F19" s="46"/>
      <c r="G19" s="46"/>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8"/>
      <c r="AO19" s="20" t="s">
        <v>102</v>
      </c>
      <c r="AP19" s="20" t="s">
        <v>103</v>
      </c>
      <c r="AQ19" s="13"/>
      <c r="AR19" s="13"/>
      <c r="AS19" s="13"/>
      <c r="AT19" s="13"/>
      <c r="AU19" s="13"/>
      <c r="AV19" s="13"/>
      <c r="AW19" s="13"/>
      <c r="AX19" s="13"/>
      <c r="AY19" s="13"/>
      <c r="AZ19" s="13"/>
      <c r="BA19" s="13"/>
      <c r="BB19" s="13"/>
      <c r="BC19" s="13"/>
      <c r="BD19" s="13"/>
      <c r="BE19" s="13"/>
      <c r="BF19" s="13"/>
    </row>
    <row r="20" spans="1:58" ht="15.75" customHeight="1">
      <c r="A20" s="13"/>
      <c r="B20" s="13"/>
      <c r="C20" s="13"/>
      <c r="D20" s="48"/>
      <c r="E20" s="48"/>
      <c r="F20" s="48"/>
      <c r="G20" s="48"/>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21" t="s">
        <v>58</v>
      </c>
      <c r="AO20" s="25">
        <f>COUNTIF(AO4:AO15,"Not Start")</f>
        <v>0</v>
      </c>
      <c r="AP20" s="25">
        <f>COUNTIF(AP4:AP15,"Not Start")</f>
        <v>0</v>
      </c>
      <c r="AQ20" s="13"/>
      <c r="AR20" s="13"/>
      <c r="AS20" s="13"/>
      <c r="AT20" s="13"/>
      <c r="AU20" s="13"/>
      <c r="AV20" s="13"/>
      <c r="AW20" s="13"/>
      <c r="AX20" s="13"/>
      <c r="AY20" s="13"/>
      <c r="AZ20" s="13"/>
      <c r="BA20" s="13"/>
      <c r="BB20" s="13"/>
      <c r="BC20" s="13"/>
      <c r="BD20" s="13"/>
      <c r="BE20" s="13"/>
      <c r="BF20" s="13"/>
    </row>
    <row r="21" spans="1:58" ht="15.75" customHeight="1">
      <c r="A21" s="13"/>
      <c r="B21" s="13"/>
      <c r="C21" s="13"/>
      <c r="D21" s="48"/>
      <c r="E21" s="48"/>
      <c r="F21" s="48"/>
      <c r="G21" s="48"/>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21" t="s">
        <v>104</v>
      </c>
      <c r="AO21" s="25">
        <f>COUNTIF(AO4:AO15,"Inprogress")</f>
        <v>0</v>
      </c>
      <c r="AP21" s="25">
        <f>COUNTIF(AP4:AP15,"Inprogress")</f>
        <v>0</v>
      </c>
      <c r="AQ21" s="13"/>
      <c r="AR21" s="13"/>
      <c r="AS21" s="13"/>
      <c r="AT21" s="13"/>
      <c r="AU21" s="13"/>
      <c r="AV21" s="13"/>
      <c r="AW21" s="13"/>
      <c r="AX21" s="13"/>
      <c r="AY21" s="13"/>
      <c r="AZ21" s="13"/>
      <c r="BA21" s="13"/>
      <c r="BB21" s="13"/>
      <c r="BC21" s="13"/>
      <c r="BD21" s="13"/>
      <c r="BE21" s="13"/>
      <c r="BF21" s="13"/>
    </row>
    <row r="22" spans="1:58" ht="15.75" customHeight="1">
      <c r="A22" s="13"/>
      <c r="B22" s="13"/>
      <c r="C22" s="13"/>
      <c r="D22" s="48"/>
      <c r="E22" s="48"/>
      <c r="F22" s="48"/>
      <c r="G22" s="48"/>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21" t="s">
        <v>105</v>
      </c>
      <c r="AO22" s="25">
        <f>COUNTIF(AO4:AO15,"Skip")</f>
        <v>1</v>
      </c>
      <c r="AP22" s="25">
        <f>COUNTIF(AP4:AP15,"Skip")</f>
        <v>1</v>
      </c>
      <c r="AQ22" s="13"/>
      <c r="AR22" s="13"/>
      <c r="AS22" s="13"/>
      <c r="AT22" s="13"/>
      <c r="AU22" s="13"/>
      <c r="AV22" s="13"/>
      <c r="AW22" s="13"/>
      <c r="AX22" s="13"/>
      <c r="AY22" s="13"/>
      <c r="AZ22" s="13"/>
      <c r="BA22" s="13"/>
      <c r="BB22" s="13"/>
      <c r="BC22" s="13"/>
      <c r="BD22" s="13"/>
      <c r="BE22" s="13"/>
      <c r="BF22" s="13"/>
    </row>
    <row r="23" spans="1:58" ht="15.75" customHeight="1">
      <c r="A23" s="13"/>
      <c r="B23" s="13"/>
      <c r="C23" s="13"/>
      <c r="D23" s="48"/>
      <c r="E23" s="48"/>
      <c r="F23" s="48"/>
      <c r="G23" s="48"/>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21" t="s">
        <v>150</v>
      </c>
      <c r="AO23" s="25">
        <f>COUNTIF(AO4:AO15,"Block")</f>
        <v>0</v>
      </c>
      <c r="AP23" s="25">
        <f>COUNTIF(AP4:AP15,"Block")</f>
        <v>0</v>
      </c>
      <c r="AQ23" s="13"/>
      <c r="AR23" s="13"/>
      <c r="AS23" s="13"/>
      <c r="AT23" s="13"/>
      <c r="AU23" s="13"/>
      <c r="AV23" s="13"/>
      <c r="AW23" s="13"/>
      <c r="AX23" s="13"/>
      <c r="AY23" s="13"/>
      <c r="AZ23" s="13"/>
      <c r="BA23" s="13"/>
      <c r="BB23" s="13"/>
      <c r="BC23" s="13"/>
      <c r="BD23" s="13"/>
      <c r="BE23" s="13"/>
      <c r="BF23" s="13"/>
    </row>
    <row r="24" spans="1:58" ht="15.75" customHeight="1">
      <c r="A24" s="13"/>
      <c r="B24" s="13"/>
      <c r="C24" s="13"/>
      <c r="D24" s="48"/>
      <c r="E24" s="48"/>
      <c r="F24" s="48"/>
      <c r="G24" s="48"/>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21" t="s">
        <v>106</v>
      </c>
      <c r="AO24" s="25">
        <f>COUNTIF(AO4:AO15,"Failed")</f>
        <v>0</v>
      </c>
      <c r="AP24" s="25">
        <f>COUNTIF(AP4:AP15,"Failed")</f>
        <v>0</v>
      </c>
      <c r="AQ24" s="13"/>
      <c r="AR24" s="13"/>
      <c r="AS24" s="13"/>
      <c r="AT24" s="13"/>
      <c r="AU24" s="13"/>
      <c r="AV24" s="13"/>
      <c r="AW24" s="13"/>
      <c r="AX24" s="13"/>
      <c r="AY24" s="13"/>
      <c r="AZ24" s="13"/>
      <c r="BA24" s="13"/>
      <c r="BB24" s="13"/>
      <c r="BC24" s="13"/>
      <c r="BD24" s="13"/>
      <c r="BE24" s="13"/>
      <c r="BF24" s="13"/>
    </row>
    <row r="25" spans="1:58" ht="15.75" customHeight="1">
      <c r="A25" s="13"/>
      <c r="B25" s="13"/>
      <c r="C25" s="13"/>
      <c r="D25" s="48"/>
      <c r="E25" s="48"/>
      <c r="F25" s="48"/>
      <c r="G25" s="48"/>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21" t="s">
        <v>29</v>
      </c>
      <c r="AO25" s="22">
        <f>COUNTIF(AO4:AO15,"Passed")</f>
        <v>11</v>
      </c>
      <c r="AP25" s="22">
        <f>COUNTIF(AP4:AP15,"Passed")</f>
        <v>11</v>
      </c>
      <c r="AQ25" s="13"/>
      <c r="AR25" s="13"/>
      <c r="AS25" s="13"/>
      <c r="AT25" s="13"/>
      <c r="AU25" s="13"/>
      <c r="AV25" s="13"/>
      <c r="AW25" s="13"/>
      <c r="AX25" s="13"/>
      <c r="AY25" s="13"/>
      <c r="AZ25" s="13"/>
      <c r="BA25" s="13"/>
      <c r="BB25" s="13"/>
      <c r="BC25" s="13"/>
      <c r="BD25" s="13"/>
      <c r="BE25" s="13"/>
      <c r="BF25" s="13"/>
    </row>
    <row r="26" spans="1:58" ht="15.75" customHeight="1">
      <c r="A26" s="13"/>
      <c r="B26" s="13"/>
      <c r="C26" s="13"/>
      <c r="D26" s="18"/>
      <c r="E26" s="18"/>
      <c r="F26" s="18"/>
      <c r="G26" s="18"/>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8"/>
      <c r="AO26" s="18"/>
      <c r="AP26" s="18"/>
      <c r="AQ26" s="13"/>
      <c r="AR26" s="13"/>
      <c r="AS26" s="13"/>
      <c r="AT26" s="13"/>
      <c r="AU26" s="13"/>
      <c r="AV26" s="13"/>
      <c r="AW26" s="13"/>
      <c r="AX26" s="13"/>
      <c r="AY26" s="13"/>
      <c r="AZ26" s="13"/>
      <c r="BA26" s="13"/>
      <c r="BB26" s="13"/>
      <c r="BC26" s="13"/>
      <c r="BD26" s="13"/>
      <c r="BE26" s="13"/>
      <c r="BF26" s="13"/>
    </row>
    <row r="27" spans="1:58" ht="15.75" customHeight="1">
      <c r="A27" s="13"/>
      <c r="B27" s="13"/>
      <c r="C27" s="13"/>
      <c r="D27" s="46"/>
      <c r="E27" s="46"/>
      <c r="F27" s="46"/>
      <c r="G27" s="46"/>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8"/>
      <c r="AO27" s="46" t="s">
        <v>102</v>
      </c>
      <c r="AP27" s="46" t="s">
        <v>103</v>
      </c>
      <c r="AQ27" s="13"/>
      <c r="AR27" s="13"/>
      <c r="AS27" s="13"/>
      <c r="AT27" s="13"/>
      <c r="AU27" s="13"/>
      <c r="AV27" s="13"/>
      <c r="AW27" s="13"/>
      <c r="AX27" s="13"/>
      <c r="AY27" s="13"/>
      <c r="AZ27" s="13"/>
      <c r="BA27" s="13"/>
      <c r="BB27" s="13"/>
      <c r="BC27" s="13"/>
      <c r="BD27" s="13"/>
      <c r="BE27" s="13"/>
      <c r="BF27" s="13"/>
    </row>
    <row r="28" spans="1:58" ht="15.75" customHeight="1">
      <c r="A28" s="13"/>
      <c r="B28" s="13"/>
      <c r="C28" s="13"/>
      <c r="D28" s="47"/>
      <c r="E28" s="47"/>
      <c r="F28" s="47"/>
      <c r="G28" s="47"/>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72" t="s">
        <v>107</v>
      </c>
      <c r="AO28" s="71">
        <f>AO25/(AO25+AO20+AO21+AO24+AO23)</f>
        <v>1</v>
      </c>
      <c r="AP28" s="71">
        <f>AP25/(AP25+AP20+AP21+AP24+AP23)</f>
        <v>1</v>
      </c>
      <c r="AQ28" s="39"/>
      <c r="AR28" s="13"/>
      <c r="AS28" s="13"/>
      <c r="AT28" s="13"/>
      <c r="AU28" s="13"/>
      <c r="AV28" s="13"/>
      <c r="AW28" s="13"/>
      <c r="AX28" s="13"/>
      <c r="AY28" s="13"/>
      <c r="AZ28" s="13"/>
      <c r="BA28" s="13"/>
      <c r="BB28" s="13"/>
      <c r="BC28" s="13"/>
      <c r="BD28" s="13"/>
      <c r="BE28" s="13"/>
      <c r="BF28" s="13"/>
    </row>
    <row r="29" spans="1:58"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39"/>
      <c r="AP29" s="39"/>
      <c r="AQ29" s="13"/>
      <c r="AR29" s="13"/>
      <c r="AS29" s="13"/>
      <c r="AT29" s="13"/>
      <c r="AU29" s="13"/>
      <c r="AV29" s="13"/>
      <c r="AW29" s="13"/>
      <c r="AX29" s="13"/>
      <c r="AY29" s="13"/>
      <c r="AZ29" s="13"/>
      <c r="BA29" s="13"/>
      <c r="BB29" s="13"/>
      <c r="BC29" s="13"/>
      <c r="BD29" s="13"/>
      <c r="BE29" s="13"/>
      <c r="BF29" s="13"/>
    </row>
    <row r="30" spans="1:58" ht="15.75" customHeight="1">
      <c r="A30" s="13"/>
      <c r="B30" s="13"/>
      <c r="C30" s="13"/>
      <c r="D30" s="13"/>
      <c r="E30" s="13"/>
      <c r="F30" s="13"/>
      <c r="G30" s="13"/>
      <c r="H30" s="13"/>
      <c r="I30" s="13"/>
      <c r="J30" s="2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row>
    <row r="31" spans="1:58" ht="15.75" customHeight="1">
      <c r="A31" s="13"/>
      <c r="B31" s="13"/>
      <c r="C31" s="13"/>
      <c r="D31" s="13"/>
      <c r="E31" s="13"/>
      <c r="F31" s="13"/>
      <c r="G31" s="13"/>
      <c r="H31" s="13"/>
      <c r="I31" s="13"/>
      <c r="J31" s="2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row>
    <row r="32" spans="1:58" ht="15.75" customHeight="1">
      <c r="A32" s="13"/>
      <c r="B32" s="13"/>
      <c r="C32" s="13"/>
      <c r="D32" s="13"/>
      <c r="E32" s="13"/>
      <c r="F32" s="13"/>
      <c r="G32" s="13"/>
      <c r="H32" s="13"/>
      <c r="I32" s="13"/>
      <c r="J32" s="2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row>
    <row r="33" spans="1:58" ht="15.75" customHeight="1">
      <c r="A33" s="13"/>
      <c r="B33" s="13"/>
      <c r="C33" s="13"/>
      <c r="D33" s="13"/>
      <c r="E33" s="13"/>
      <c r="F33" s="13"/>
      <c r="G33" s="13"/>
      <c r="H33" s="13"/>
      <c r="I33" s="13"/>
      <c r="J33" s="2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row>
    <row r="34" spans="1:58" ht="15.75" customHeight="1">
      <c r="A34" s="13"/>
      <c r="B34" s="13"/>
      <c r="C34" s="13"/>
      <c r="D34" s="13"/>
      <c r="E34" s="13"/>
      <c r="F34" s="13"/>
      <c r="G34" s="13"/>
      <c r="H34" s="13"/>
      <c r="I34" s="13"/>
      <c r="J34" s="2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row>
    <row r="35" spans="1:58" ht="15.75" customHeight="1">
      <c r="A35" s="13"/>
      <c r="B35" s="13"/>
      <c r="C35" s="13"/>
      <c r="D35" s="13"/>
      <c r="E35" s="13"/>
      <c r="F35" s="13"/>
      <c r="G35" s="13"/>
      <c r="H35" s="13"/>
      <c r="I35" s="13"/>
      <c r="J35" s="2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row>
    <row r="36" spans="1:58" ht="15.75" customHeight="1">
      <c r="A36" s="13"/>
      <c r="B36" s="13"/>
      <c r="C36" s="13"/>
      <c r="D36" s="13"/>
      <c r="E36" s="13"/>
      <c r="F36" s="13"/>
      <c r="G36" s="13"/>
      <c r="H36" s="13"/>
      <c r="I36" s="13"/>
      <c r="J36" s="2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row>
    <row r="37" spans="1:58" ht="15.75" customHeight="1">
      <c r="A37" s="13"/>
      <c r="B37" s="13"/>
      <c r="C37" s="13"/>
      <c r="D37" s="13"/>
      <c r="E37" s="13"/>
      <c r="F37" s="13"/>
      <c r="G37" s="13"/>
      <c r="H37" s="13"/>
      <c r="I37" s="13"/>
      <c r="J37" s="2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row>
    <row r="38" spans="1:58" ht="15.75" customHeight="1">
      <c r="A38" s="13"/>
      <c r="B38" s="13"/>
      <c r="C38" s="13"/>
      <c r="D38" s="13"/>
      <c r="E38" s="13"/>
      <c r="F38" s="13"/>
      <c r="G38" s="13"/>
      <c r="H38" s="13"/>
      <c r="I38" s="13"/>
      <c r="J38" s="2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row>
    <row r="39" spans="1:58" ht="15.75" customHeight="1">
      <c r="A39" s="13"/>
      <c r="B39" s="13"/>
      <c r="C39" s="13"/>
      <c r="D39" s="13"/>
      <c r="E39" s="13"/>
      <c r="F39" s="13"/>
      <c r="G39" s="13"/>
      <c r="H39" s="13"/>
      <c r="I39" s="13"/>
      <c r="J39" s="2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row>
    <row r="40" spans="1:58" ht="15.75" customHeight="1">
      <c r="A40" s="13"/>
      <c r="B40" s="13"/>
      <c r="C40" s="13"/>
      <c r="D40" s="13"/>
      <c r="E40" s="13"/>
      <c r="F40" s="13"/>
      <c r="G40" s="13"/>
      <c r="H40" s="13"/>
      <c r="I40" s="13"/>
      <c r="J40" s="2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row>
    <row r="41" spans="1:58" ht="15.75" customHeight="1">
      <c r="A41" s="13"/>
      <c r="B41" s="13"/>
      <c r="C41" s="13"/>
      <c r="D41" s="13"/>
      <c r="E41" s="13"/>
      <c r="F41" s="13"/>
      <c r="G41" s="13"/>
      <c r="H41" s="13"/>
      <c r="I41" s="13"/>
      <c r="J41" s="2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row>
    <row r="42" spans="1:58" ht="15.75" customHeight="1">
      <c r="A42" s="13"/>
      <c r="B42" s="13"/>
      <c r="C42" s="13"/>
      <c r="D42" s="13"/>
      <c r="E42" s="13"/>
      <c r="F42" s="13"/>
      <c r="G42" s="13"/>
      <c r="H42" s="13"/>
      <c r="I42" s="13"/>
      <c r="J42" s="2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row>
    <row r="43" spans="1:58" ht="15.75" customHeight="1">
      <c r="A43" s="13"/>
      <c r="B43" s="13"/>
      <c r="C43" s="13"/>
      <c r="D43" s="13"/>
      <c r="E43" s="13"/>
      <c r="F43" s="13"/>
      <c r="G43" s="13"/>
      <c r="H43" s="13"/>
      <c r="I43" s="13"/>
      <c r="J43" s="2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row>
    <row r="44" spans="1:58" ht="15.75" customHeight="1">
      <c r="A44" s="13"/>
      <c r="B44" s="13"/>
      <c r="C44" s="13"/>
      <c r="D44" s="13"/>
      <c r="E44" s="13"/>
      <c r="F44" s="13"/>
      <c r="G44" s="13"/>
      <c r="H44" s="13"/>
      <c r="I44" s="13"/>
      <c r="J44" s="2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row>
    <row r="45" spans="1:58" ht="15.75" customHeight="1">
      <c r="A45" s="13"/>
      <c r="B45" s="13"/>
      <c r="C45" s="13"/>
      <c r="D45" s="13"/>
      <c r="E45" s="13"/>
      <c r="F45" s="13"/>
      <c r="G45" s="13"/>
      <c r="H45" s="13"/>
      <c r="I45" s="13"/>
      <c r="J45" s="2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row>
    <row r="46" spans="1:58" ht="15.75" customHeight="1">
      <c r="A46" s="13"/>
      <c r="B46" s="13"/>
      <c r="C46" s="13"/>
      <c r="D46" s="13"/>
      <c r="E46" s="13"/>
      <c r="F46" s="13"/>
      <c r="G46" s="13"/>
      <c r="H46" s="13"/>
      <c r="I46" s="13"/>
      <c r="J46" s="2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row>
    <row r="47" spans="1:58" ht="15.75" customHeight="1">
      <c r="A47" s="13"/>
      <c r="B47" s="13"/>
      <c r="C47" s="13"/>
      <c r="D47" s="13"/>
      <c r="E47" s="13"/>
      <c r="F47" s="13"/>
      <c r="G47" s="13"/>
      <c r="H47" s="13"/>
      <c r="I47" s="13"/>
      <c r="J47" s="2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row>
    <row r="48" spans="1:58" ht="15.75" customHeight="1">
      <c r="A48" s="13"/>
      <c r="B48" s="13"/>
      <c r="C48" s="13"/>
      <c r="D48" s="13"/>
      <c r="E48" s="13"/>
      <c r="F48" s="13"/>
      <c r="G48" s="13"/>
      <c r="H48" s="13"/>
      <c r="I48" s="13"/>
      <c r="J48" s="2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row>
    <row r="49" spans="1:58" ht="15.75" customHeight="1">
      <c r="A49" s="13"/>
      <c r="B49" s="13"/>
      <c r="C49" s="13"/>
      <c r="D49" s="13"/>
      <c r="E49" s="13"/>
      <c r="F49" s="13"/>
      <c r="G49" s="13"/>
      <c r="H49" s="13"/>
      <c r="I49" s="13"/>
      <c r="J49" s="2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row>
    <row r="50" spans="1:58" ht="15.75" customHeight="1">
      <c r="A50" s="13"/>
      <c r="B50" s="13"/>
      <c r="C50" s="13"/>
      <c r="D50" s="13"/>
      <c r="E50" s="13"/>
      <c r="F50" s="13"/>
      <c r="G50" s="13"/>
      <c r="H50" s="13"/>
      <c r="I50" s="13"/>
      <c r="J50" s="2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row>
    <row r="51" spans="1:58" ht="15.75" customHeight="1">
      <c r="A51" s="13"/>
      <c r="B51" s="13"/>
      <c r="C51" s="13"/>
      <c r="D51" s="13"/>
      <c r="E51" s="13"/>
      <c r="F51" s="13"/>
      <c r="G51" s="13"/>
      <c r="H51" s="13"/>
      <c r="I51" s="13"/>
      <c r="J51" s="2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row>
    <row r="52" spans="1:58" ht="15.75" customHeight="1">
      <c r="A52" s="13"/>
      <c r="B52" s="13"/>
      <c r="C52" s="13"/>
      <c r="D52" s="13"/>
      <c r="E52" s="13"/>
      <c r="F52" s="13"/>
      <c r="G52" s="13"/>
      <c r="H52" s="13"/>
      <c r="I52" s="13"/>
      <c r="J52" s="2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row>
    <row r="53" spans="1:58" ht="15.75" customHeight="1">
      <c r="A53" s="13"/>
      <c r="B53" s="13"/>
      <c r="C53" s="13"/>
      <c r="D53" s="13"/>
      <c r="E53" s="13"/>
      <c r="F53" s="13"/>
      <c r="G53" s="13"/>
      <c r="H53" s="13"/>
      <c r="I53" s="13"/>
      <c r="J53" s="2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row>
    <row r="54" spans="1:58" ht="15.75" customHeight="1">
      <c r="A54" s="13"/>
      <c r="B54" s="13"/>
      <c r="C54" s="13"/>
      <c r="D54" s="13"/>
      <c r="E54" s="13"/>
      <c r="F54" s="13"/>
      <c r="G54" s="13"/>
      <c r="H54" s="13"/>
      <c r="I54" s="13"/>
      <c r="J54" s="2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row>
    <row r="55" spans="1:58" ht="15.75" customHeight="1">
      <c r="A55" s="13"/>
      <c r="B55" s="13"/>
      <c r="C55" s="13"/>
      <c r="D55" s="13"/>
      <c r="E55" s="13"/>
      <c r="F55" s="13"/>
      <c r="G55" s="13"/>
      <c r="H55" s="13"/>
      <c r="I55" s="13"/>
      <c r="J55" s="2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row>
    <row r="56" spans="1:58" ht="15.75" customHeight="1">
      <c r="A56" s="13"/>
      <c r="B56" s="13"/>
      <c r="C56" s="13"/>
      <c r="D56" s="13"/>
      <c r="E56" s="13"/>
      <c r="F56" s="13"/>
      <c r="G56" s="13"/>
      <c r="H56" s="13"/>
      <c r="I56" s="13"/>
      <c r="J56" s="2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row>
    <row r="57" spans="1:58" ht="15.75" customHeight="1">
      <c r="A57" s="13"/>
      <c r="B57" s="13"/>
      <c r="C57" s="13"/>
      <c r="D57" s="13"/>
      <c r="E57" s="13"/>
      <c r="F57" s="13"/>
      <c r="G57" s="13"/>
      <c r="H57" s="13"/>
      <c r="I57" s="13"/>
      <c r="J57" s="2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row>
    <row r="58" spans="1:58" ht="15.75" customHeight="1">
      <c r="A58" s="13"/>
      <c r="B58" s="13"/>
      <c r="C58" s="13"/>
      <c r="D58" s="13"/>
      <c r="E58" s="13"/>
      <c r="F58" s="13"/>
      <c r="G58" s="13"/>
      <c r="H58" s="13"/>
      <c r="I58" s="13"/>
      <c r="J58" s="2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row>
    <row r="59" spans="1:58" ht="15.75" customHeight="1">
      <c r="A59" s="13"/>
      <c r="B59" s="13"/>
      <c r="C59" s="13"/>
      <c r="D59" s="13"/>
      <c r="E59" s="13"/>
      <c r="F59" s="13"/>
      <c r="G59" s="13"/>
      <c r="H59" s="13"/>
      <c r="I59" s="13"/>
      <c r="J59" s="2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row>
    <row r="60" spans="1:58" ht="15.75" customHeight="1">
      <c r="A60" s="13"/>
      <c r="B60" s="13"/>
      <c r="C60" s="13"/>
      <c r="D60" s="13"/>
      <c r="E60" s="13"/>
      <c r="F60" s="13"/>
      <c r="G60" s="13"/>
      <c r="H60" s="13"/>
      <c r="I60" s="13"/>
      <c r="J60" s="2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row>
    <row r="61" spans="1:58" ht="15.75" customHeight="1">
      <c r="A61" s="13"/>
      <c r="B61" s="13"/>
      <c r="C61" s="13"/>
      <c r="D61" s="13"/>
      <c r="E61" s="13"/>
      <c r="F61" s="13"/>
      <c r="G61" s="13"/>
      <c r="H61" s="13"/>
      <c r="I61" s="13"/>
      <c r="J61" s="2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row>
    <row r="62" spans="1:58" ht="15.75" customHeight="1">
      <c r="A62" s="13"/>
      <c r="B62" s="13"/>
      <c r="C62" s="13"/>
      <c r="D62" s="13"/>
      <c r="E62" s="13"/>
      <c r="F62" s="13"/>
      <c r="G62" s="13"/>
      <c r="H62" s="13"/>
      <c r="I62" s="13"/>
      <c r="J62" s="2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row>
    <row r="63" spans="1:58" ht="15.75" customHeight="1">
      <c r="A63" s="13"/>
      <c r="B63" s="13"/>
      <c r="C63" s="13"/>
      <c r="D63" s="13"/>
      <c r="E63" s="13"/>
      <c r="F63" s="13"/>
      <c r="G63" s="13"/>
      <c r="H63" s="13"/>
      <c r="I63" s="13"/>
      <c r="J63" s="2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row>
    <row r="64" spans="1:58" ht="15.75" customHeight="1">
      <c r="A64" s="13"/>
      <c r="B64" s="13"/>
      <c r="C64" s="13"/>
      <c r="D64" s="13"/>
      <c r="E64" s="13"/>
      <c r="F64" s="13"/>
      <c r="G64" s="13"/>
      <c r="H64" s="13"/>
      <c r="I64" s="13"/>
      <c r="J64" s="2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row>
    <row r="65" spans="1:58" ht="15.75" customHeight="1">
      <c r="A65" s="13"/>
      <c r="B65" s="13"/>
      <c r="C65" s="13"/>
      <c r="D65" s="13"/>
      <c r="E65" s="13"/>
      <c r="F65" s="13"/>
      <c r="G65" s="13"/>
      <c r="H65" s="13"/>
      <c r="I65" s="13"/>
      <c r="J65" s="2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row>
    <row r="66" spans="1:58" ht="15.75" customHeight="1">
      <c r="A66" s="13"/>
      <c r="B66" s="13"/>
      <c r="C66" s="13"/>
      <c r="D66" s="13"/>
      <c r="E66" s="13"/>
      <c r="F66" s="13"/>
      <c r="G66" s="13"/>
      <c r="H66" s="13"/>
      <c r="I66" s="13"/>
      <c r="J66" s="2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row>
    <row r="67" spans="1:58" ht="15.75" customHeight="1">
      <c r="A67" s="13"/>
      <c r="B67" s="13"/>
      <c r="C67" s="13"/>
      <c r="D67" s="13"/>
      <c r="E67" s="13"/>
      <c r="F67" s="13"/>
      <c r="G67" s="13"/>
      <c r="H67" s="13"/>
      <c r="I67" s="13"/>
      <c r="J67" s="2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row>
    <row r="68" spans="1:58" ht="15.75" customHeight="1">
      <c r="A68" s="13"/>
      <c r="B68" s="13"/>
      <c r="C68" s="13"/>
      <c r="D68" s="13"/>
      <c r="E68" s="13"/>
      <c r="F68" s="13"/>
      <c r="G68" s="13"/>
      <c r="H68" s="13"/>
      <c r="I68" s="13"/>
      <c r="J68" s="2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row>
    <row r="69" spans="1:58" ht="15.75" customHeight="1">
      <c r="A69" s="13"/>
      <c r="B69" s="13"/>
      <c r="C69" s="13"/>
      <c r="D69" s="13"/>
      <c r="E69" s="13"/>
      <c r="F69" s="13"/>
      <c r="G69" s="13"/>
      <c r="H69" s="13"/>
      <c r="I69" s="13"/>
      <c r="J69" s="2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row>
    <row r="70" spans="1:58" ht="15.75" customHeight="1">
      <c r="A70" s="13"/>
      <c r="B70" s="13"/>
      <c r="C70" s="13"/>
      <c r="D70" s="13"/>
      <c r="E70" s="13"/>
      <c r="F70" s="13"/>
      <c r="G70" s="13"/>
      <c r="H70" s="13"/>
      <c r="I70" s="13"/>
      <c r="J70" s="2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row>
    <row r="71" spans="1:58" ht="15.75" customHeight="1">
      <c r="A71" s="13"/>
      <c r="B71" s="13"/>
      <c r="C71" s="13"/>
      <c r="D71" s="13"/>
      <c r="E71" s="13"/>
      <c r="F71" s="13"/>
      <c r="G71" s="13"/>
      <c r="H71" s="13"/>
      <c r="I71" s="13"/>
      <c r="J71" s="2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row>
    <row r="72" spans="1:58" ht="15.75" customHeight="1">
      <c r="A72" s="13"/>
      <c r="B72" s="13"/>
      <c r="C72" s="13"/>
      <c r="D72" s="13"/>
      <c r="E72" s="13"/>
      <c r="F72" s="13"/>
      <c r="G72" s="13"/>
      <c r="H72" s="13"/>
      <c r="I72" s="13"/>
      <c r="J72" s="2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row>
    <row r="73" spans="1:58" ht="15.75" customHeight="1">
      <c r="A73" s="13"/>
      <c r="B73" s="13"/>
      <c r="C73" s="13"/>
      <c r="D73" s="13"/>
      <c r="E73" s="13"/>
      <c r="F73" s="13"/>
      <c r="G73" s="13"/>
      <c r="H73" s="13"/>
      <c r="I73" s="13"/>
      <c r="J73" s="2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row>
    <row r="74" spans="1:58" ht="15.75" customHeight="1">
      <c r="A74" s="13"/>
      <c r="B74" s="13"/>
      <c r="C74" s="13"/>
      <c r="D74" s="13"/>
      <c r="E74" s="13"/>
      <c r="F74" s="13"/>
      <c r="G74" s="13"/>
      <c r="H74" s="13"/>
      <c r="I74" s="13"/>
      <c r="J74" s="2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row>
    <row r="75" spans="1:58" ht="15.75" customHeight="1">
      <c r="A75" s="13"/>
      <c r="B75" s="13"/>
      <c r="C75" s="13"/>
      <c r="D75" s="13"/>
      <c r="E75" s="13"/>
      <c r="F75" s="13"/>
      <c r="G75" s="13"/>
      <c r="H75" s="13"/>
      <c r="I75" s="13"/>
      <c r="J75" s="2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row>
    <row r="76" spans="1:58" ht="15.75" customHeight="1">
      <c r="A76" s="13"/>
      <c r="B76" s="13"/>
      <c r="C76" s="13"/>
      <c r="D76" s="13"/>
      <c r="E76" s="13"/>
      <c r="F76" s="13"/>
      <c r="G76" s="13"/>
      <c r="H76" s="13"/>
      <c r="I76" s="13"/>
      <c r="J76" s="2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row>
    <row r="77" spans="1:58" ht="15.75" customHeight="1">
      <c r="A77" s="13"/>
      <c r="B77" s="13"/>
      <c r="C77" s="13"/>
      <c r="D77" s="13"/>
      <c r="E77" s="13"/>
      <c r="F77" s="13"/>
      <c r="G77" s="13"/>
      <c r="H77" s="13"/>
      <c r="I77" s="13"/>
      <c r="J77" s="2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row>
    <row r="78" spans="1:58" ht="15.75" customHeight="1">
      <c r="A78" s="13"/>
      <c r="B78" s="13"/>
      <c r="C78" s="13"/>
      <c r="D78" s="13"/>
      <c r="E78" s="13"/>
      <c r="F78" s="13"/>
      <c r="G78" s="13"/>
      <c r="H78" s="13"/>
      <c r="I78" s="13"/>
      <c r="J78" s="2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row>
    <row r="79" spans="1:58" ht="15.75" customHeight="1">
      <c r="A79" s="13"/>
      <c r="B79" s="13"/>
      <c r="C79" s="13"/>
      <c r="D79" s="13"/>
      <c r="E79" s="13"/>
      <c r="F79" s="13"/>
      <c r="G79" s="13"/>
      <c r="H79" s="13"/>
      <c r="I79" s="13"/>
      <c r="J79" s="2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row>
    <row r="80" spans="1:58" ht="15.75" customHeight="1">
      <c r="A80" s="13"/>
      <c r="B80" s="13"/>
      <c r="C80" s="13"/>
      <c r="D80" s="13"/>
      <c r="E80" s="13"/>
      <c r="F80" s="13"/>
      <c r="G80" s="13"/>
      <c r="H80" s="13"/>
      <c r="I80" s="13"/>
      <c r="J80" s="2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row>
    <row r="81" spans="1:58" ht="15.75" customHeight="1">
      <c r="A81" s="13"/>
      <c r="B81" s="13"/>
      <c r="C81" s="13"/>
      <c r="D81" s="13"/>
      <c r="E81" s="13"/>
      <c r="F81" s="13"/>
      <c r="G81" s="13"/>
      <c r="H81" s="13"/>
      <c r="I81" s="13"/>
      <c r="J81" s="2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row>
    <row r="82" spans="1:58" ht="15.75" customHeight="1">
      <c r="A82" s="13"/>
      <c r="B82" s="13"/>
      <c r="C82" s="13"/>
      <c r="D82" s="13"/>
      <c r="E82" s="13"/>
      <c r="F82" s="13"/>
      <c r="G82" s="13"/>
      <c r="H82" s="13"/>
      <c r="I82" s="13"/>
      <c r="J82" s="2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row>
    <row r="83" spans="1:58" ht="15.75" customHeight="1">
      <c r="A83" s="13"/>
      <c r="B83" s="13"/>
      <c r="C83" s="13"/>
      <c r="D83" s="13"/>
      <c r="E83" s="13"/>
      <c r="F83" s="13"/>
      <c r="G83" s="13"/>
      <c r="H83" s="13"/>
      <c r="I83" s="13"/>
      <c r="J83" s="2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row>
    <row r="84" spans="1:58" ht="15.75" customHeight="1">
      <c r="A84" s="13"/>
      <c r="B84" s="13"/>
      <c r="C84" s="13"/>
      <c r="D84" s="13"/>
      <c r="E84" s="13"/>
      <c r="F84" s="13"/>
      <c r="G84" s="13"/>
      <c r="H84" s="13"/>
      <c r="I84" s="13"/>
      <c r="J84" s="2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row>
    <row r="85" spans="1:58" ht="15.75" customHeight="1">
      <c r="A85" s="13"/>
      <c r="B85" s="13"/>
      <c r="C85" s="13"/>
      <c r="D85" s="13"/>
      <c r="E85" s="13"/>
      <c r="F85" s="13"/>
      <c r="G85" s="13"/>
      <c r="H85" s="13"/>
      <c r="I85" s="13"/>
      <c r="J85" s="2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row>
    <row r="86" spans="1:58" ht="15.75" customHeight="1">
      <c r="A86" s="13"/>
      <c r="B86" s="13"/>
      <c r="C86" s="13"/>
      <c r="D86" s="13"/>
      <c r="E86" s="13"/>
      <c r="F86" s="13"/>
      <c r="G86" s="13"/>
      <c r="H86" s="13"/>
      <c r="I86" s="13"/>
      <c r="J86" s="2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row>
    <row r="87" spans="1:58" ht="15.75" customHeight="1">
      <c r="A87" s="13"/>
      <c r="B87" s="13"/>
      <c r="C87" s="13"/>
      <c r="D87" s="13"/>
      <c r="E87" s="13"/>
      <c r="F87" s="13"/>
      <c r="G87" s="13"/>
      <c r="H87" s="13"/>
      <c r="I87" s="13"/>
      <c r="J87" s="2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row>
    <row r="88" spans="1:58" ht="15.75" customHeight="1">
      <c r="A88" s="13"/>
      <c r="B88" s="13"/>
      <c r="C88" s="13"/>
      <c r="D88" s="13"/>
      <c r="E88" s="13"/>
      <c r="F88" s="13"/>
      <c r="G88" s="13"/>
      <c r="H88" s="13"/>
      <c r="I88" s="13"/>
      <c r="J88" s="2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row>
    <row r="89" spans="1:58" ht="15.75" customHeight="1">
      <c r="A89" s="13"/>
      <c r="B89" s="13"/>
      <c r="C89" s="13"/>
      <c r="D89" s="13"/>
      <c r="E89" s="13"/>
      <c r="F89" s="13"/>
      <c r="G89" s="13"/>
      <c r="H89" s="13"/>
      <c r="I89" s="13"/>
      <c r="J89" s="2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row>
    <row r="90" spans="1:58" ht="15.75" customHeight="1">
      <c r="A90" s="13"/>
      <c r="B90" s="13"/>
      <c r="C90" s="13"/>
      <c r="D90" s="13"/>
      <c r="E90" s="13"/>
      <c r="F90" s="13"/>
      <c r="G90" s="13"/>
      <c r="H90" s="13"/>
      <c r="I90" s="13"/>
      <c r="J90" s="2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row>
    <row r="91" spans="1:58" ht="15.75" customHeight="1">
      <c r="A91" s="13"/>
      <c r="B91" s="13"/>
      <c r="C91" s="13"/>
      <c r="D91" s="13"/>
      <c r="E91" s="13"/>
      <c r="F91" s="13"/>
      <c r="G91" s="13"/>
      <c r="H91" s="13"/>
      <c r="I91" s="13"/>
      <c r="J91" s="2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row>
    <row r="92" spans="1:58" ht="15.75" customHeight="1">
      <c r="A92" s="13"/>
      <c r="B92" s="13"/>
      <c r="C92" s="13"/>
      <c r="D92" s="13"/>
      <c r="E92" s="13"/>
      <c r="F92" s="13"/>
      <c r="G92" s="13"/>
      <c r="H92" s="13"/>
      <c r="I92" s="13"/>
      <c r="J92" s="2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row>
    <row r="93" spans="1:58" ht="15.75" customHeight="1">
      <c r="A93" s="13"/>
      <c r="B93" s="13"/>
      <c r="C93" s="13"/>
      <c r="D93" s="13"/>
      <c r="E93" s="13"/>
      <c r="F93" s="13"/>
      <c r="G93" s="13"/>
      <c r="H93" s="13"/>
      <c r="I93" s="13"/>
      <c r="J93" s="2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row>
    <row r="94" spans="1:58" ht="15.75" customHeight="1">
      <c r="A94" s="13"/>
      <c r="B94" s="13"/>
      <c r="C94" s="13"/>
      <c r="D94" s="13"/>
      <c r="E94" s="13"/>
      <c r="F94" s="13"/>
      <c r="G94" s="13"/>
      <c r="H94" s="13"/>
      <c r="I94" s="13"/>
      <c r="J94" s="2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row>
    <row r="95" spans="1:58" ht="15.75" customHeight="1">
      <c r="A95" s="13"/>
      <c r="B95" s="13"/>
      <c r="C95" s="13"/>
      <c r="D95" s="13"/>
      <c r="E95" s="13"/>
      <c r="F95" s="13"/>
      <c r="G95" s="13"/>
      <c r="H95" s="13"/>
      <c r="I95" s="13"/>
      <c r="J95" s="2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row>
    <row r="96" spans="1:58" ht="15.75" customHeight="1">
      <c r="A96" s="13"/>
      <c r="B96" s="13"/>
      <c r="C96" s="13"/>
      <c r="D96" s="13"/>
      <c r="E96" s="13"/>
      <c r="F96" s="13"/>
      <c r="G96" s="13"/>
      <c r="H96" s="13"/>
      <c r="I96" s="13"/>
      <c r="J96" s="2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row>
    <row r="97" spans="1:58" ht="15.75" customHeight="1">
      <c r="A97" s="13"/>
      <c r="B97" s="13"/>
      <c r="C97" s="13"/>
      <c r="D97" s="13"/>
      <c r="E97" s="13"/>
      <c r="F97" s="13"/>
      <c r="G97" s="13"/>
      <c r="H97" s="13"/>
      <c r="I97" s="13"/>
      <c r="J97" s="2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row>
    <row r="98" spans="1:58" ht="15.75" customHeight="1">
      <c r="A98" s="13"/>
      <c r="B98" s="13"/>
      <c r="C98" s="13"/>
      <c r="D98" s="13"/>
      <c r="E98" s="13"/>
      <c r="F98" s="13"/>
      <c r="G98" s="13"/>
      <c r="H98" s="13"/>
      <c r="I98" s="13"/>
      <c r="J98" s="2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row>
    <row r="99" spans="1:58" ht="15.75" customHeight="1">
      <c r="A99" s="13"/>
      <c r="B99" s="13"/>
      <c r="C99" s="13"/>
      <c r="D99" s="13"/>
      <c r="E99" s="13"/>
      <c r="F99" s="13"/>
      <c r="G99" s="13"/>
      <c r="H99" s="13"/>
      <c r="I99" s="13"/>
      <c r="J99" s="2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row>
    <row r="100" spans="1:58" ht="15.75" customHeight="1">
      <c r="A100" s="13"/>
      <c r="B100" s="13"/>
      <c r="C100" s="13"/>
      <c r="D100" s="13"/>
      <c r="E100" s="13"/>
      <c r="F100" s="13"/>
      <c r="G100" s="13"/>
      <c r="H100" s="13"/>
      <c r="I100" s="13"/>
      <c r="J100" s="2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row>
    <row r="101" spans="1:58" ht="15.75" customHeight="1">
      <c r="A101" s="13"/>
      <c r="B101" s="13"/>
      <c r="C101" s="13"/>
      <c r="D101" s="13"/>
      <c r="E101" s="13"/>
      <c r="F101" s="13"/>
      <c r="G101" s="13"/>
      <c r="H101" s="13"/>
      <c r="I101" s="13"/>
      <c r="J101" s="2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row>
    <row r="102" spans="1:58" ht="15.75" customHeight="1">
      <c r="A102" s="13"/>
      <c r="B102" s="13"/>
      <c r="C102" s="13"/>
      <c r="D102" s="13"/>
      <c r="E102" s="13"/>
      <c r="F102" s="13"/>
      <c r="G102" s="13"/>
      <c r="H102" s="13"/>
      <c r="I102" s="13"/>
      <c r="J102" s="2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row>
    <row r="103" spans="1:58" ht="15.75" customHeight="1">
      <c r="A103" s="13"/>
      <c r="B103" s="13"/>
      <c r="C103" s="13"/>
      <c r="D103" s="13"/>
      <c r="E103" s="13"/>
      <c r="F103" s="13"/>
      <c r="G103" s="13"/>
      <c r="H103" s="13"/>
      <c r="I103" s="13"/>
      <c r="J103" s="2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row>
    <row r="104" spans="1:58" ht="15.75" customHeight="1">
      <c r="A104" s="13"/>
      <c r="B104" s="13"/>
      <c r="C104" s="13"/>
      <c r="D104" s="13"/>
      <c r="E104" s="13"/>
      <c r="F104" s="13"/>
      <c r="G104" s="13"/>
      <c r="H104" s="13"/>
      <c r="I104" s="13"/>
      <c r="J104" s="2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row>
    <row r="105" spans="1:58" ht="15.75" customHeight="1">
      <c r="A105" s="13"/>
      <c r="B105" s="13"/>
      <c r="C105" s="13"/>
      <c r="D105" s="13"/>
      <c r="E105" s="13"/>
      <c r="F105" s="13"/>
      <c r="G105" s="13"/>
      <c r="H105" s="13"/>
      <c r="I105" s="13"/>
      <c r="J105" s="2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row>
    <row r="106" spans="1:58" ht="15.75" customHeight="1">
      <c r="A106" s="13"/>
      <c r="B106" s="13"/>
      <c r="C106" s="13"/>
      <c r="D106" s="13"/>
      <c r="E106" s="13"/>
      <c r="F106" s="13"/>
      <c r="G106" s="13"/>
      <c r="H106" s="13"/>
      <c r="I106" s="13"/>
      <c r="J106" s="2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row>
    <row r="107" spans="1:58" ht="15.75" customHeight="1">
      <c r="A107" s="13"/>
      <c r="B107" s="13"/>
      <c r="C107" s="13"/>
      <c r="D107" s="13"/>
      <c r="E107" s="13"/>
      <c r="F107" s="13"/>
      <c r="G107" s="13"/>
      <c r="H107" s="13"/>
      <c r="I107" s="13"/>
      <c r="J107" s="2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row>
    <row r="108" spans="1:58" ht="15.75" customHeight="1">
      <c r="A108" s="13"/>
      <c r="B108" s="13"/>
      <c r="C108" s="13"/>
      <c r="D108" s="13"/>
      <c r="E108" s="13"/>
      <c r="F108" s="13"/>
      <c r="G108" s="13"/>
      <c r="H108" s="13"/>
      <c r="I108" s="13"/>
      <c r="J108" s="2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row>
    <row r="109" spans="1:58" ht="15.75" customHeight="1">
      <c r="A109" s="13"/>
      <c r="B109" s="13"/>
      <c r="C109" s="13"/>
      <c r="D109" s="13"/>
      <c r="E109" s="13"/>
      <c r="F109" s="13"/>
      <c r="G109" s="13"/>
      <c r="H109" s="13"/>
      <c r="I109" s="13"/>
      <c r="J109" s="2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row>
    <row r="110" spans="1:58" ht="15.75" customHeight="1">
      <c r="A110" s="13"/>
      <c r="B110" s="13"/>
      <c r="C110" s="13"/>
      <c r="D110" s="13"/>
      <c r="E110" s="13"/>
      <c r="F110" s="13"/>
      <c r="G110" s="13"/>
      <c r="H110" s="13"/>
      <c r="I110" s="13"/>
      <c r="J110" s="2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row>
    <row r="111" spans="1:58" ht="15.75" customHeight="1">
      <c r="A111" s="13"/>
      <c r="B111" s="13"/>
      <c r="C111" s="13"/>
      <c r="D111" s="13"/>
      <c r="E111" s="13"/>
      <c r="F111" s="13"/>
      <c r="G111" s="13"/>
      <c r="H111" s="13"/>
      <c r="I111" s="13"/>
      <c r="J111" s="2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row>
    <row r="112" spans="1:58" ht="15.75" customHeight="1">
      <c r="A112" s="13"/>
      <c r="B112" s="13"/>
      <c r="C112" s="13"/>
      <c r="D112" s="13"/>
      <c r="E112" s="13"/>
      <c r="F112" s="13"/>
      <c r="G112" s="13"/>
      <c r="H112" s="13"/>
      <c r="I112" s="13"/>
      <c r="J112" s="2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row>
    <row r="113" spans="1:58" ht="15.75" customHeight="1">
      <c r="A113" s="13"/>
      <c r="B113" s="13"/>
      <c r="C113" s="13"/>
      <c r="D113" s="13"/>
      <c r="E113" s="13"/>
      <c r="F113" s="13"/>
      <c r="G113" s="13"/>
      <c r="H113" s="13"/>
      <c r="I113" s="13"/>
      <c r="J113" s="2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row>
    <row r="114" spans="1:58" ht="15.75" customHeight="1">
      <c r="A114" s="13"/>
      <c r="B114" s="13"/>
      <c r="C114" s="13"/>
      <c r="D114" s="13"/>
      <c r="E114" s="13"/>
      <c r="F114" s="13"/>
      <c r="G114" s="13"/>
      <c r="H114" s="13"/>
      <c r="I114" s="13"/>
      <c r="J114" s="2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row>
    <row r="115" spans="1:58" ht="15.75" customHeight="1">
      <c r="A115" s="13"/>
      <c r="B115" s="13"/>
      <c r="C115" s="13"/>
      <c r="D115" s="13"/>
      <c r="E115" s="13"/>
      <c r="F115" s="13"/>
      <c r="G115" s="13"/>
      <c r="H115" s="13"/>
      <c r="I115" s="13"/>
      <c r="J115" s="2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row>
    <row r="116" spans="1:58" ht="15.75" customHeight="1">
      <c r="A116" s="13"/>
      <c r="B116" s="13"/>
      <c r="C116" s="13"/>
      <c r="D116" s="13"/>
      <c r="E116" s="13"/>
      <c r="F116" s="13"/>
      <c r="G116" s="13"/>
      <c r="H116" s="13"/>
      <c r="I116" s="13"/>
      <c r="J116" s="2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row>
    <row r="117" spans="1:58" ht="15.75" customHeight="1">
      <c r="A117" s="13"/>
      <c r="B117" s="13"/>
      <c r="C117" s="13"/>
      <c r="D117" s="13"/>
      <c r="E117" s="13"/>
      <c r="F117" s="13"/>
      <c r="G117" s="13"/>
      <c r="H117" s="13"/>
      <c r="I117" s="13"/>
      <c r="J117" s="2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row>
    <row r="118" spans="1:58" ht="15.75" customHeight="1">
      <c r="A118" s="13"/>
      <c r="B118" s="13"/>
      <c r="C118" s="13"/>
      <c r="D118" s="13"/>
      <c r="E118" s="13"/>
      <c r="F118" s="13"/>
      <c r="G118" s="13"/>
      <c r="H118" s="13"/>
      <c r="I118" s="13"/>
      <c r="J118" s="2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row>
    <row r="119" spans="1:58" ht="15.75" customHeight="1">
      <c r="A119" s="13"/>
      <c r="B119" s="13"/>
      <c r="C119" s="13"/>
      <c r="D119" s="13"/>
      <c r="E119" s="13"/>
      <c r="F119" s="13"/>
      <c r="G119" s="13"/>
      <c r="H119" s="13"/>
      <c r="I119" s="13"/>
      <c r="J119" s="2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row>
    <row r="120" spans="1:58" ht="15.75" customHeight="1">
      <c r="A120" s="13"/>
      <c r="B120" s="13"/>
      <c r="C120" s="13"/>
      <c r="D120" s="13"/>
      <c r="E120" s="13"/>
      <c r="F120" s="13"/>
      <c r="G120" s="13"/>
      <c r="H120" s="13"/>
      <c r="I120" s="13"/>
      <c r="J120" s="2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row>
    <row r="121" spans="1:58" ht="15.75" customHeight="1">
      <c r="A121" s="13"/>
      <c r="B121" s="13"/>
      <c r="C121" s="13"/>
      <c r="D121" s="13"/>
      <c r="E121" s="13"/>
      <c r="F121" s="13"/>
      <c r="G121" s="13"/>
      <c r="H121" s="13"/>
      <c r="I121" s="13"/>
      <c r="J121" s="2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row>
    <row r="122" spans="1:58" ht="15.75" customHeight="1">
      <c r="A122" s="13"/>
      <c r="B122" s="13"/>
      <c r="C122" s="13"/>
      <c r="D122" s="13"/>
      <c r="E122" s="13"/>
      <c r="F122" s="13"/>
      <c r="G122" s="13"/>
      <c r="H122" s="13"/>
      <c r="I122" s="13"/>
      <c r="J122" s="2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row>
    <row r="123" spans="1:58" ht="15.75" customHeight="1">
      <c r="A123" s="13"/>
      <c r="B123" s="13"/>
      <c r="C123" s="13"/>
      <c r="D123" s="13"/>
      <c r="E123" s="13"/>
      <c r="F123" s="13"/>
      <c r="G123" s="13"/>
      <c r="H123" s="13"/>
      <c r="I123" s="13"/>
      <c r="J123" s="2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row>
    <row r="124" spans="1:58" ht="15.75" customHeight="1">
      <c r="A124" s="13"/>
      <c r="B124" s="13"/>
      <c r="C124" s="13"/>
      <c r="D124" s="13"/>
      <c r="E124" s="13"/>
      <c r="F124" s="13"/>
      <c r="G124" s="13"/>
      <c r="H124" s="13"/>
      <c r="I124" s="13"/>
      <c r="J124" s="2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row>
    <row r="125" spans="1:58" ht="15.75" customHeight="1">
      <c r="A125" s="13"/>
      <c r="B125" s="13"/>
      <c r="C125" s="13"/>
      <c r="D125" s="13"/>
      <c r="E125" s="13"/>
      <c r="F125" s="13"/>
      <c r="G125" s="13"/>
      <c r="H125" s="13"/>
      <c r="I125" s="13"/>
      <c r="J125" s="2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row>
    <row r="126" spans="1:58" ht="15.75" customHeight="1">
      <c r="A126" s="13"/>
      <c r="B126" s="13"/>
      <c r="C126" s="13"/>
      <c r="D126" s="13"/>
      <c r="E126" s="13"/>
      <c r="F126" s="13"/>
      <c r="G126" s="13"/>
      <c r="H126" s="13"/>
      <c r="I126" s="13"/>
      <c r="J126" s="2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row>
    <row r="127" spans="1:58" ht="15.75" customHeight="1">
      <c r="A127" s="13"/>
      <c r="B127" s="13"/>
      <c r="C127" s="13"/>
      <c r="D127" s="13"/>
      <c r="E127" s="13"/>
      <c r="F127" s="13"/>
      <c r="G127" s="13"/>
      <c r="H127" s="13"/>
      <c r="I127" s="13"/>
      <c r="J127" s="2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row>
    <row r="128" spans="1:58" ht="15.75" customHeight="1">
      <c r="A128" s="13"/>
      <c r="B128" s="13"/>
      <c r="C128" s="13"/>
      <c r="D128" s="13"/>
      <c r="E128" s="13"/>
      <c r="F128" s="13"/>
      <c r="G128" s="13"/>
      <c r="H128" s="13"/>
      <c r="I128" s="13"/>
      <c r="J128" s="2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row>
    <row r="129" spans="1:58" ht="15.75" customHeight="1">
      <c r="A129" s="13"/>
      <c r="B129" s="13"/>
      <c r="C129" s="13"/>
      <c r="D129" s="13"/>
      <c r="E129" s="13"/>
      <c r="F129" s="13"/>
      <c r="G129" s="13"/>
      <c r="H129" s="13"/>
      <c r="I129" s="13"/>
      <c r="J129" s="2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row>
    <row r="130" spans="1:58" ht="15.75" customHeight="1">
      <c r="A130" s="13"/>
      <c r="B130" s="13"/>
      <c r="C130" s="13"/>
      <c r="D130" s="13"/>
      <c r="E130" s="13"/>
      <c r="F130" s="13"/>
      <c r="G130" s="13"/>
      <c r="H130" s="13"/>
      <c r="I130" s="13"/>
      <c r="J130" s="2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row>
    <row r="131" spans="1:58" ht="15.75" customHeight="1">
      <c r="A131" s="13"/>
      <c r="B131" s="13"/>
      <c r="C131" s="13"/>
      <c r="D131" s="13"/>
      <c r="E131" s="13"/>
      <c r="F131" s="13"/>
      <c r="G131" s="13"/>
      <c r="H131" s="13"/>
      <c r="I131" s="13"/>
      <c r="J131" s="2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row>
    <row r="132" spans="1:58" ht="15.75" customHeight="1">
      <c r="A132" s="13"/>
      <c r="B132" s="13"/>
      <c r="C132" s="13"/>
      <c r="D132" s="13"/>
      <c r="E132" s="13"/>
      <c r="F132" s="13"/>
      <c r="G132" s="13"/>
      <c r="H132" s="13"/>
      <c r="I132" s="13"/>
      <c r="J132" s="2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row>
    <row r="133" spans="1:58" ht="15.75" customHeight="1">
      <c r="A133" s="13"/>
      <c r="B133" s="13"/>
      <c r="C133" s="13"/>
      <c r="D133" s="13"/>
      <c r="E133" s="13"/>
      <c r="F133" s="13"/>
      <c r="G133" s="13"/>
      <c r="H133" s="13"/>
      <c r="I133" s="13"/>
      <c r="J133" s="2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row>
    <row r="134" spans="1:58" ht="15.75" customHeight="1">
      <c r="A134" s="13"/>
      <c r="B134" s="13"/>
      <c r="C134" s="13"/>
      <c r="D134" s="13"/>
      <c r="E134" s="13"/>
      <c r="F134" s="13"/>
      <c r="G134" s="13"/>
      <c r="H134" s="13"/>
      <c r="I134" s="13"/>
      <c r="J134" s="2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row>
    <row r="135" spans="1:58" ht="15.75" customHeight="1">
      <c r="A135" s="13"/>
      <c r="B135" s="13"/>
      <c r="C135" s="13"/>
      <c r="D135" s="13"/>
      <c r="E135" s="13"/>
      <c r="F135" s="13"/>
      <c r="G135" s="13"/>
      <c r="H135" s="13"/>
      <c r="I135" s="13"/>
      <c r="J135" s="2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row>
    <row r="136" spans="1:58" ht="15.75" customHeight="1">
      <c r="A136" s="13"/>
      <c r="B136" s="13"/>
      <c r="C136" s="13"/>
      <c r="D136" s="13"/>
      <c r="E136" s="13"/>
      <c r="F136" s="13"/>
      <c r="G136" s="13"/>
      <c r="H136" s="13"/>
      <c r="I136" s="13"/>
      <c r="J136" s="2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row>
    <row r="137" spans="1:58" ht="15.75" customHeight="1">
      <c r="A137" s="13"/>
      <c r="B137" s="13"/>
      <c r="C137" s="13"/>
      <c r="D137" s="13"/>
      <c r="E137" s="13"/>
      <c r="F137" s="13"/>
      <c r="G137" s="13"/>
      <c r="H137" s="13"/>
      <c r="I137" s="13"/>
      <c r="J137" s="2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row>
    <row r="138" spans="1:58" ht="15.75" customHeight="1">
      <c r="A138" s="13"/>
      <c r="B138" s="13"/>
      <c r="C138" s="13"/>
      <c r="D138" s="13"/>
      <c r="E138" s="13"/>
      <c r="F138" s="13"/>
      <c r="G138" s="13"/>
      <c r="H138" s="13"/>
      <c r="I138" s="13"/>
      <c r="J138" s="2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row>
    <row r="139" spans="1:58" ht="15.75" customHeight="1">
      <c r="A139" s="13"/>
      <c r="B139" s="13"/>
      <c r="C139" s="13"/>
      <c r="D139" s="13"/>
      <c r="E139" s="13"/>
      <c r="F139" s="13"/>
      <c r="G139" s="13"/>
      <c r="H139" s="13"/>
      <c r="I139" s="13"/>
      <c r="J139" s="2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row>
    <row r="140" spans="1:58" ht="15.75" customHeight="1">
      <c r="A140" s="13"/>
      <c r="B140" s="13"/>
      <c r="C140" s="13"/>
      <c r="D140" s="13"/>
      <c r="E140" s="13"/>
      <c r="F140" s="13"/>
      <c r="G140" s="13"/>
      <c r="H140" s="13"/>
      <c r="I140" s="13"/>
      <c r="J140" s="2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row>
    <row r="141" spans="1:58" ht="15.75" customHeight="1">
      <c r="A141" s="13"/>
      <c r="B141" s="13"/>
      <c r="C141" s="13"/>
      <c r="D141" s="13"/>
      <c r="E141" s="13"/>
      <c r="F141" s="13"/>
      <c r="G141" s="13"/>
      <c r="H141" s="13"/>
      <c r="I141" s="13"/>
      <c r="J141" s="2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row>
    <row r="142" spans="1:58" ht="15.75" customHeight="1">
      <c r="A142" s="13"/>
      <c r="B142" s="13"/>
      <c r="C142" s="13"/>
      <c r="D142" s="13"/>
      <c r="E142" s="13"/>
      <c r="F142" s="13"/>
      <c r="G142" s="13"/>
      <c r="H142" s="13"/>
      <c r="I142" s="13"/>
      <c r="J142" s="2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row>
    <row r="143" spans="1:58" ht="15.75" customHeight="1">
      <c r="A143" s="13"/>
      <c r="B143" s="13"/>
      <c r="C143" s="13"/>
      <c r="D143" s="13"/>
      <c r="E143" s="13"/>
      <c r="F143" s="13"/>
      <c r="G143" s="13"/>
      <c r="H143" s="13"/>
      <c r="I143" s="13"/>
      <c r="J143" s="2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row>
    <row r="144" spans="1:58" ht="15.75" customHeight="1">
      <c r="A144" s="13"/>
      <c r="B144" s="13"/>
      <c r="C144" s="13"/>
      <c r="D144" s="13"/>
      <c r="E144" s="13"/>
      <c r="F144" s="13"/>
      <c r="G144" s="13"/>
      <c r="H144" s="13"/>
      <c r="I144" s="13"/>
      <c r="J144" s="2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row>
    <row r="145" spans="1:58" ht="15.75" customHeight="1">
      <c r="A145" s="13"/>
      <c r="B145" s="13"/>
      <c r="C145" s="13"/>
      <c r="D145" s="13"/>
      <c r="E145" s="13"/>
      <c r="F145" s="13"/>
      <c r="G145" s="13"/>
      <c r="H145" s="13"/>
      <c r="I145" s="13"/>
      <c r="J145" s="2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row>
    <row r="146" spans="1:58" ht="15.75" customHeight="1">
      <c r="A146" s="13"/>
      <c r="B146" s="13"/>
      <c r="C146" s="13"/>
      <c r="D146" s="13"/>
      <c r="E146" s="13"/>
      <c r="F146" s="13"/>
      <c r="G146" s="13"/>
      <c r="H146" s="13"/>
      <c r="I146" s="13"/>
      <c r="J146" s="2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row>
    <row r="147" spans="1:58" ht="15.75" customHeight="1">
      <c r="A147" s="13"/>
      <c r="B147" s="13"/>
      <c r="C147" s="13"/>
      <c r="D147" s="13"/>
      <c r="E147" s="13"/>
      <c r="F147" s="13"/>
      <c r="G147" s="13"/>
      <c r="H147" s="13"/>
      <c r="I147" s="13"/>
      <c r="J147" s="2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row>
    <row r="148" spans="1:58" ht="15.75" customHeight="1">
      <c r="A148" s="13"/>
      <c r="B148" s="13"/>
      <c r="C148" s="13"/>
      <c r="D148" s="13"/>
      <c r="E148" s="13"/>
      <c r="F148" s="13"/>
      <c r="G148" s="13"/>
      <c r="H148" s="13"/>
      <c r="I148" s="13"/>
      <c r="J148" s="2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row>
    <row r="149" spans="1:58" ht="15.75" customHeight="1">
      <c r="A149" s="13"/>
      <c r="B149" s="13"/>
      <c r="C149" s="13"/>
      <c r="D149" s="13"/>
      <c r="E149" s="13"/>
      <c r="F149" s="13"/>
      <c r="G149" s="13"/>
      <c r="H149" s="13"/>
      <c r="I149" s="13"/>
      <c r="J149" s="2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row>
    <row r="150" spans="1:58" ht="15.75" customHeight="1">
      <c r="A150" s="13"/>
      <c r="B150" s="13"/>
      <c r="C150" s="13"/>
      <c r="D150" s="13"/>
      <c r="E150" s="13"/>
      <c r="F150" s="13"/>
      <c r="G150" s="13"/>
      <c r="H150" s="13"/>
      <c r="I150" s="13"/>
      <c r="J150" s="2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row>
    <row r="151" spans="1:58" ht="15.75" customHeight="1">
      <c r="A151" s="13"/>
      <c r="B151" s="13"/>
      <c r="C151" s="13"/>
      <c r="D151" s="13"/>
      <c r="E151" s="13"/>
      <c r="F151" s="13"/>
      <c r="G151" s="13"/>
      <c r="H151" s="13"/>
      <c r="I151" s="13"/>
      <c r="J151" s="2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row>
    <row r="152" spans="1:58" ht="15.75" customHeight="1">
      <c r="A152" s="13"/>
      <c r="B152" s="13"/>
      <c r="C152" s="13"/>
      <c r="D152" s="13"/>
      <c r="E152" s="13"/>
      <c r="F152" s="13"/>
      <c r="G152" s="13"/>
      <c r="H152" s="13"/>
      <c r="I152" s="13"/>
      <c r="J152" s="2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row>
    <row r="153" spans="1:58" ht="15.75" customHeight="1">
      <c r="A153" s="13"/>
      <c r="B153" s="13"/>
      <c r="C153" s="13"/>
      <c r="D153" s="13"/>
      <c r="E153" s="13"/>
      <c r="F153" s="13"/>
      <c r="G153" s="13"/>
      <c r="H153" s="13"/>
      <c r="I153" s="13"/>
      <c r="J153" s="2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row>
    <row r="154" spans="1:58" ht="15.75" customHeight="1">
      <c r="A154" s="13"/>
      <c r="B154" s="13"/>
      <c r="C154" s="13"/>
      <c r="D154" s="13"/>
      <c r="E154" s="13"/>
      <c r="F154" s="13"/>
      <c r="G154" s="13"/>
      <c r="H154" s="13"/>
      <c r="I154" s="13"/>
      <c r="J154" s="2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row>
    <row r="155" spans="1:58" ht="15.75" customHeight="1">
      <c r="A155" s="13"/>
      <c r="B155" s="13"/>
      <c r="C155" s="13"/>
      <c r="D155" s="13"/>
      <c r="E155" s="13"/>
      <c r="F155" s="13"/>
      <c r="G155" s="13"/>
      <c r="H155" s="13"/>
      <c r="I155" s="13"/>
      <c r="J155" s="2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row>
    <row r="156" spans="1:58" ht="15.75" customHeight="1">
      <c r="A156" s="13"/>
      <c r="B156" s="13"/>
      <c r="C156" s="13"/>
      <c r="D156" s="13"/>
      <c r="E156" s="13"/>
      <c r="F156" s="13"/>
      <c r="G156" s="13"/>
      <c r="H156" s="13"/>
      <c r="I156" s="13"/>
      <c r="J156" s="2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row>
    <row r="157" spans="1:58" ht="15.75" customHeight="1">
      <c r="A157" s="13"/>
      <c r="B157" s="13"/>
      <c r="C157" s="13"/>
      <c r="D157" s="13"/>
      <c r="E157" s="13"/>
      <c r="F157" s="13"/>
      <c r="G157" s="13"/>
      <c r="H157" s="13"/>
      <c r="I157" s="13"/>
      <c r="J157" s="2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row>
    <row r="158" spans="1:58" ht="15.75" customHeight="1">
      <c r="A158" s="13"/>
      <c r="B158" s="13"/>
      <c r="C158" s="13"/>
      <c r="D158" s="13"/>
      <c r="E158" s="13"/>
      <c r="F158" s="13"/>
      <c r="G158" s="13"/>
      <c r="H158" s="13"/>
      <c r="I158" s="13"/>
      <c r="J158" s="2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row>
    <row r="159" spans="1:58" ht="15.75" customHeight="1">
      <c r="A159" s="13"/>
      <c r="B159" s="13"/>
      <c r="C159" s="13"/>
      <c r="D159" s="13"/>
      <c r="E159" s="13"/>
      <c r="F159" s="13"/>
      <c r="G159" s="13"/>
      <c r="H159" s="13"/>
      <c r="I159" s="13"/>
      <c r="J159" s="2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row>
    <row r="160" spans="1:58" ht="15.75" customHeight="1">
      <c r="A160" s="13"/>
      <c r="B160" s="13"/>
      <c r="C160" s="13"/>
      <c r="D160" s="13"/>
      <c r="E160" s="13"/>
      <c r="F160" s="13"/>
      <c r="G160" s="13"/>
      <c r="H160" s="13"/>
      <c r="I160" s="13"/>
      <c r="J160" s="2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row>
    <row r="161" spans="1:58" ht="15.75" customHeight="1">
      <c r="A161" s="13"/>
      <c r="B161" s="13"/>
      <c r="C161" s="13"/>
      <c r="D161" s="13"/>
      <c r="E161" s="13"/>
      <c r="F161" s="13"/>
      <c r="G161" s="13"/>
      <c r="H161" s="13"/>
      <c r="I161" s="13"/>
      <c r="J161" s="2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row>
    <row r="162" spans="1:58" ht="15.75" customHeight="1">
      <c r="A162" s="13"/>
      <c r="B162" s="13"/>
      <c r="C162" s="13"/>
      <c r="D162" s="13"/>
      <c r="E162" s="13"/>
      <c r="F162" s="13"/>
      <c r="G162" s="13"/>
      <c r="H162" s="13"/>
      <c r="I162" s="13"/>
      <c r="J162" s="2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row>
    <row r="163" spans="1:58" ht="15.75" customHeight="1">
      <c r="A163" s="13"/>
      <c r="B163" s="13"/>
      <c r="C163" s="13"/>
      <c r="D163" s="13"/>
      <c r="E163" s="13"/>
      <c r="F163" s="13"/>
      <c r="G163" s="13"/>
      <c r="H163" s="13"/>
      <c r="I163" s="13"/>
      <c r="J163" s="2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row>
    <row r="164" spans="1:58" ht="15.75" customHeight="1">
      <c r="A164" s="13"/>
      <c r="B164" s="13"/>
      <c r="C164" s="13"/>
      <c r="D164" s="13"/>
      <c r="E164" s="13"/>
      <c r="F164" s="13"/>
      <c r="G164" s="13"/>
      <c r="H164" s="13"/>
      <c r="I164" s="13"/>
      <c r="J164" s="2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row>
    <row r="165" spans="1:58" ht="15.75" customHeight="1">
      <c r="A165" s="13"/>
      <c r="B165" s="13"/>
      <c r="C165" s="13"/>
      <c r="D165" s="13"/>
      <c r="E165" s="13"/>
      <c r="F165" s="13"/>
      <c r="G165" s="13"/>
      <c r="H165" s="13"/>
      <c r="I165" s="13"/>
      <c r="J165" s="2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row>
    <row r="166" spans="1:58" ht="15.75" customHeight="1">
      <c r="A166" s="13"/>
      <c r="B166" s="13"/>
      <c r="C166" s="13"/>
      <c r="D166" s="13"/>
      <c r="E166" s="13"/>
      <c r="F166" s="13"/>
      <c r="G166" s="13"/>
      <c r="H166" s="13"/>
      <c r="I166" s="13"/>
      <c r="J166" s="2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row>
    <row r="167" spans="1:58" ht="15.75" customHeight="1">
      <c r="A167" s="13"/>
      <c r="B167" s="13"/>
      <c r="C167" s="13"/>
      <c r="D167" s="13"/>
      <c r="E167" s="13"/>
      <c r="F167" s="13"/>
      <c r="G167" s="13"/>
      <c r="H167" s="13"/>
      <c r="I167" s="13"/>
      <c r="J167" s="2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row>
    <row r="168" spans="1:58" ht="15.75" customHeight="1">
      <c r="A168" s="13"/>
      <c r="B168" s="13"/>
      <c r="C168" s="13"/>
      <c r="D168" s="13"/>
      <c r="E168" s="13"/>
      <c r="F168" s="13"/>
      <c r="G168" s="13"/>
      <c r="H168" s="13"/>
      <c r="I168" s="13"/>
      <c r="J168" s="2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row>
    <row r="169" spans="1:58" ht="15.75" customHeight="1">
      <c r="A169" s="13"/>
      <c r="B169" s="13"/>
      <c r="C169" s="13"/>
      <c r="D169" s="13"/>
      <c r="E169" s="13"/>
      <c r="F169" s="13"/>
      <c r="G169" s="13"/>
      <c r="H169" s="13"/>
      <c r="I169" s="13"/>
      <c r="J169" s="2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row>
    <row r="170" spans="1:58" ht="15.75" customHeight="1">
      <c r="A170" s="13"/>
      <c r="B170" s="13"/>
      <c r="C170" s="13"/>
      <c r="D170" s="13"/>
      <c r="E170" s="13"/>
      <c r="F170" s="13"/>
      <c r="G170" s="13"/>
      <c r="H170" s="13"/>
      <c r="I170" s="13"/>
      <c r="J170" s="2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row>
    <row r="171" spans="1:58" ht="15.75" customHeight="1">
      <c r="A171" s="13"/>
      <c r="B171" s="13"/>
      <c r="C171" s="13"/>
      <c r="D171" s="13"/>
      <c r="E171" s="13"/>
      <c r="F171" s="13"/>
      <c r="G171" s="13"/>
      <c r="H171" s="13"/>
      <c r="I171" s="13"/>
      <c r="J171" s="2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row>
    <row r="172" spans="1:58" ht="15.75" customHeight="1">
      <c r="A172" s="13"/>
      <c r="B172" s="13"/>
      <c r="C172" s="13"/>
      <c r="D172" s="13"/>
      <c r="E172" s="13"/>
      <c r="F172" s="13"/>
      <c r="G172" s="13"/>
      <c r="H172" s="13"/>
      <c r="I172" s="13"/>
      <c r="J172" s="2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row>
    <row r="173" spans="1:58" ht="15.75" customHeight="1">
      <c r="A173" s="13"/>
      <c r="B173" s="13"/>
      <c r="C173" s="13"/>
      <c r="D173" s="13"/>
      <c r="E173" s="13"/>
      <c r="F173" s="13"/>
      <c r="G173" s="13"/>
      <c r="H173" s="13"/>
      <c r="I173" s="13"/>
      <c r="J173" s="2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row>
    <row r="174" spans="1:58" ht="15.75" customHeight="1">
      <c r="A174" s="13"/>
      <c r="B174" s="13"/>
      <c r="C174" s="13"/>
      <c r="D174" s="13"/>
      <c r="E174" s="13"/>
      <c r="F174" s="13"/>
      <c r="G174" s="13"/>
      <c r="H174" s="13"/>
      <c r="I174" s="13"/>
      <c r="J174" s="2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row>
    <row r="175" spans="1:58" ht="15.75" customHeight="1">
      <c r="A175" s="13"/>
      <c r="B175" s="13"/>
      <c r="C175" s="13"/>
      <c r="D175" s="13"/>
      <c r="E175" s="13"/>
      <c r="F175" s="13"/>
      <c r="G175" s="13"/>
      <c r="H175" s="13"/>
      <c r="I175" s="13"/>
      <c r="J175" s="2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row>
    <row r="176" spans="1:58" ht="15.75" customHeight="1">
      <c r="A176" s="13"/>
      <c r="B176" s="13"/>
      <c r="C176" s="13"/>
      <c r="D176" s="13"/>
      <c r="E176" s="13"/>
      <c r="F176" s="13"/>
      <c r="G176" s="13"/>
      <c r="H176" s="13"/>
      <c r="I176" s="13"/>
      <c r="J176" s="2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row>
    <row r="177" spans="1:58" ht="15.75" customHeight="1">
      <c r="A177" s="13"/>
      <c r="B177" s="13"/>
      <c r="C177" s="13"/>
      <c r="D177" s="13"/>
      <c r="E177" s="13"/>
      <c r="F177" s="13"/>
      <c r="G177" s="13"/>
      <c r="H177" s="13"/>
      <c r="I177" s="13"/>
      <c r="J177" s="2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row>
    <row r="178" spans="1:58" ht="15.75" customHeight="1">
      <c r="A178" s="13"/>
      <c r="B178" s="13"/>
      <c r="C178" s="13"/>
      <c r="D178" s="13"/>
      <c r="E178" s="13"/>
      <c r="F178" s="13"/>
      <c r="G178" s="13"/>
      <c r="H178" s="13"/>
      <c r="I178" s="13"/>
      <c r="J178" s="2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row>
    <row r="179" spans="1:58" ht="15.75" customHeight="1">
      <c r="A179" s="13"/>
      <c r="B179" s="13"/>
      <c r="C179" s="13"/>
      <c r="D179" s="13"/>
      <c r="E179" s="13"/>
      <c r="F179" s="13"/>
      <c r="G179" s="13"/>
      <c r="H179" s="13"/>
      <c r="I179" s="13"/>
      <c r="J179" s="2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row>
    <row r="180" spans="1:58" ht="15.75" customHeight="1">
      <c r="A180" s="13"/>
      <c r="B180" s="13"/>
      <c r="C180" s="13"/>
      <c r="D180" s="13"/>
      <c r="E180" s="13"/>
      <c r="F180" s="13"/>
      <c r="G180" s="13"/>
      <c r="H180" s="13"/>
      <c r="I180" s="13"/>
      <c r="J180" s="2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row>
    <row r="181" spans="1:58" ht="15.75" customHeight="1">
      <c r="A181" s="13"/>
      <c r="B181" s="13"/>
      <c r="C181" s="13"/>
      <c r="D181" s="13"/>
      <c r="E181" s="13"/>
      <c r="F181" s="13"/>
      <c r="G181" s="13"/>
      <c r="H181" s="13"/>
      <c r="I181" s="13"/>
      <c r="J181" s="2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row>
    <row r="182" spans="1:58" ht="15.75" customHeight="1">
      <c r="A182" s="13"/>
      <c r="B182" s="13"/>
      <c r="C182" s="13"/>
      <c r="D182" s="13"/>
      <c r="E182" s="13"/>
      <c r="F182" s="13"/>
      <c r="G182" s="13"/>
      <c r="H182" s="13"/>
      <c r="I182" s="13"/>
      <c r="J182" s="2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row>
    <row r="183" spans="1:58" ht="15.75" customHeight="1">
      <c r="A183" s="13"/>
      <c r="B183" s="13"/>
      <c r="C183" s="13"/>
      <c r="D183" s="13"/>
      <c r="E183" s="13"/>
      <c r="F183" s="13"/>
      <c r="G183" s="13"/>
      <c r="H183" s="13"/>
      <c r="I183" s="13"/>
      <c r="J183" s="2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row>
    <row r="184" spans="1:58" ht="15.75" customHeight="1">
      <c r="A184" s="13"/>
      <c r="B184" s="13"/>
      <c r="C184" s="13"/>
      <c r="D184" s="13"/>
      <c r="E184" s="13"/>
      <c r="F184" s="13"/>
      <c r="G184" s="13"/>
      <c r="H184" s="13"/>
      <c r="I184" s="13"/>
      <c r="J184" s="2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row>
    <row r="185" spans="1:58" ht="15.75" customHeight="1">
      <c r="A185" s="13"/>
      <c r="B185" s="13"/>
      <c r="C185" s="13"/>
      <c r="D185" s="13"/>
      <c r="E185" s="13"/>
      <c r="F185" s="13"/>
      <c r="G185" s="13"/>
      <c r="H185" s="13"/>
      <c r="I185" s="13"/>
      <c r="J185" s="2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row>
    <row r="186" spans="1:58" ht="15.75" customHeight="1">
      <c r="A186" s="13"/>
      <c r="B186" s="13"/>
      <c r="C186" s="13"/>
      <c r="D186" s="13"/>
      <c r="E186" s="13"/>
      <c r="F186" s="13"/>
      <c r="G186" s="13"/>
      <c r="H186" s="13"/>
      <c r="I186" s="13"/>
      <c r="J186" s="2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row>
    <row r="187" spans="1:58" ht="15.75" customHeight="1">
      <c r="A187" s="13"/>
      <c r="B187" s="13"/>
      <c r="C187" s="13"/>
      <c r="D187" s="13"/>
      <c r="E187" s="13"/>
      <c r="F187" s="13"/>
      <c r="G187" s="13"/>
      <c r="H187" s="13"/>
      <c r="I187" s="13"/>
      <c r="J187" s="2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row>
    <row r="188" spans="1:58" ht="15.75" customHeight="1">
      <c r="A188" s="13"/>
      <c r="B188" s="13"/>
      <c r="C188" s="13"/>
      <c r="D188" s="13"/>
      <c r="E188" s="13"/>
      <c r="F188" s="13"/>
      <c r="G188" s="13"/>
      <c r="H188" s="13"/>
      <c r="I188" s="13"/>
      <c r="J188" s="2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row>
    <row r="189" spans="1:58" ht="15.75" customHeight="1">
      <c r="A189" s="13"/>
      <c r="B189" s="13"/>
      <c r="C189" s="13"/>
      <c r="D189" s="13"/>
      <c r="E189" s="13"/>
      <c r="F189" s="13"/>
      <c r="G189" s="13"/>
      <c r="H189" s="13"/>
      <c r="I189" s="13"/>
      <c r="J189" s="2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row>
    <row r="190" spans="1:58" ht="15.75" customHeight="1">
      <c r="A190" s="13"/>
      <c r="B190" s="13"/>
      <c r="C190" s="13"/>
      <c r="D190" s="13"/>
      <c r="E190" s="13"/>
      <c r="F190" s="13"/>
      <c r="G190" s="13"/>
      <c r="H190" s="13"/>
      <c r="I190" s="13"/>
      <c r="J190" s="2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row>
    <row r="191" spans="1:58" ht="15.75" customHeight="1">
      <c r="A191" s="13"/>
      <c r="B191" s="13"/>
      <c r="C191" s="13"/>
      <c r="D191" s="13"/>
      <c r="E191" s="13"/>
      <c r="F191" s="13"/>
      <c r="G191" s="13"/>
      <c r="H191" s="13"/>
      <c r="I191" s="13"/>
      <c r="J191" s="2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row>
    <row r="192" spans="1:58" ht="15.75" customHeight="1">
      <c r="A192" s="13"/>
      <c r="B192" s="13"/>
      <c r="C192" s="13"/>
      <c r="D192" s="13"/>
      <c r="E192" s="13"/>
      <c r="F192" s="13"/>
      <c r="G192" s="13"/>
      <c r="H192" s="13"/>
      <c r="I192" s="13"/>
      <c r="J192" s="2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row>
    <row r="193" spans="1:58" ht="15.75" customHeight="1">
      <c r="A193" s="13"/>
      <c r="B193" s="13"/>
      <c r="C193" s="13"/>
      <c r="D193" s="13"/>
      <c r="E193" s="13"/>
      <c r="F193" s="13"/>
      <c r="G193" s="13"/>
      <c r="H193" s="13"/>
      <c r="I193" s="13"/>
      <c r="J193" s="2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row>
    <row r="194" spans="1:58" ht="15.75" customHeight="1">
      <c r="A194" s="13"/>
      <c r="B194" s="13"/>
      <c r="C194" s="13"/>
      <c r="D194" s="13"/>
      <c r="E194" s="13"/>
      <c r="F194" s="13"/>
      <c r="G194" s="13"/>
      <c r="H194" s="13"/>
      <c r="I194" s="13"/>
      <c r="J194" s="2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row>
    <row r="195" spans="1:58" ht="15.75" customHeight="1">
      <c r="A195" s="13"/>
      <c r="B195" s="13"/>
      <c r="C195" s="13"/>
      <c r="D195" s="13"/>
      <c r="E195" s="13"/>
      <c r="F195" s="13"/>
      <c r="G195" s="13"/>
      <c r="H195" s="13"/>
      <c r="I195" s="13"/>
      <c r="J195" s="2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row>
    <row r="196" spans="1:58" ht="15.75" customHeight="1">
      <c r="A196" s="13"/>
      <c r="B196" s="13"/>
      <c r="C196" s="13"/>
      <c r="D196" s="13"/>
      <c r="E196" s="13"/>
      <c r="F196" s="13"/>
      <c r="G196" s="13"/>
      <c r="H196" s="13"/>
      <c r="I196" s="13"/>
      <c r="J196" s="2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row>
    <row r="197" spans="1:58" ht="15.75" customHeight="1">
      <c r="A197" s="13"/>
      <c r="B197" s="13"/>
      <c r="C197" s="13"/>
      <c r="D197" s="13"/>
      <c r="E197" s="13"/>
      <c r="F197" s="13"/>
      <c r="G197" s="13"/>
      <c r="H197" s="13"/>
      <c r="I197" s="13"/>
      <c r="J197" s="2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row>
    <row r="198" spans="1:58" ht="15.75" customHeight="1">
      <c r="A198" s="13"/>
      <c r="B198" s="13"/>
      <c r="C198" s="13"/>
      <c r="D198" s="13"/>
      <c r="E198" s="13"/>
      <c r="F198" s="13"/>
      <c r="G198" s="13"/>
      <c r="H198" s="13"/>
      <c r="I198" s="13"/>
      <c r="J198" s="2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row>
    <row r="199" spans="1:58" ht="15.75" customHeight="1">
      <c r="A199" s="13"/>
      <c r="B199" s="13"/>
      <c r="C199" s="13"/>
      <c r="D199" s="13"/>
      <c r="E199" s="13"/>
      <c r="F199" s="13"/>
      <c r="G199" s="13"/>
      <c r="H199" s="13"/>
      <c r="I199" s="13"/>
      <c r="J199" s="2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row>
    <row r="200" spans="1:58" ht="15.75" customHeight="1">
      <c r="A200" s="13"/>
      <c r="B200" s="13"/>
      <c r="C200" s="13"/>
      <c r="D200" s="13"/>
      <c r="E200" s="13"/>
      <c r="F200" s="13"/>
      <c r="G200" s="13"/>
      <c r="H200" s="13"/>
      <c r="I200" s="13"/>
      <c r="J200" s="2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row>
    <row r="201" spans="1:58" ht="15.75" customHeight="1">
      <c r="A201" s="13"/>
      <c r="B201" s="13"/>
      <c r="C201" s="13"/>
      <c r="D201" s="13"/>
      <c r="E201" s="13"/>
      <c r="F201" s="13"/>
      <c r="G201" s="13"/>
      <c r="H201" s="13"/>
      <c r="I201" s="13"/>
      <c r="J201" s="2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row>
    <row r="202" spans="1:58" ht="15.75" customHeight="1">
      <c r="A202" s="13"/>
      <c r="B202" s="13"/>
      <c r="C202" s="13"/>
      <c r="D202" s="13"/>
      <c r="E202" s="13"/>
      <c r="F202" s="13"/>
      <c r="G202" s="13"/>
      <c r="H202" s="13"/>
      <c r="I202" s="13"/>
      <c r="J202" s="2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row>
    <row r="203" spans="1:58" ht="15.75" customHeight="1">
      <c r="A203" s="13"/>
      <c r="B203" s="13"/>
      <c r="C203" s="13"/>
      <c r="D203" s="13"/>
      <c r="E203" s="13"/>
      <c r="F203" s="13"/>
      <c r="G203" s="13"/>
      <c r="H203" s="13"/>
      <c r="I203" s="13"/>
      <c r="J203" s="2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row>
    <row r="204" spans="1:58" ht="15.75" customHeight="1">
      <c r="A204" s="13"/>
      <c r="B204" s="13"/>
      <c r="C204" s="13"/>
      <c r="D204" s="13"/>
      <c r="E204" s="13"/>
      <c r="F204" s="13"/>
      <c r="G204" s="13"/>
      <c r="H204" s="13"/>
      <c r="I204" s="13"/>
      <c r="J204" s="2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row>
    <row r="205" spans="1:58" ht="15.75" customHeight="1">
      <c r="A205" s="13"/>
      <c r="B205" s="13"/>
      <c r="C205" s="13"/>
      <c r="D205" s="13"/>
      <c r="E205" s="13"/>
      <c r="F205" s="13"/>
      <c r="G205" s="13"/>
      <c r="H205" s="13"/>
      <c r="I205" s="13"/>
      <c r="J205" s="2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row>
    <row r="206" spans="1:58" ht="15.75" customHeight="1">
      <c r="A206" s="13"/>
      <c r="B206" s="13"/>
      <c r="C206" s="13"/>
      <c r="D206" s="13"/>
      <c r="E206" s="13"/>
      <c r="F206" s="13"/>
      <c r="G206" s="13"/>
      <c r="H206" s="13"/>
      <c r="I206" s="13"/>
      <c r="J206" s="2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row>
    <row r="207" spans="1:58" ht="15.75" customHeight="1">
      <c r="A207" s="13"/>
      <c r="B207" s="13"/>
      <c r="C207" s="13"/>
      <c r="D207" s="13"/>
      <c r="E207" s="13"/>
      <c r="F207" s="13"/>
      <c r="G207" s="13"/>
      <c r="H207" s="13"/>
      <c r="I207" s="13"/>
      <c r="J207" s="2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row>
    <row r="208" spans="1:58" ht="15.75" customHeight="1">
      <c r="A208" s="13"/>
      <c r="B208" s="13"/>
      <c r="C208" s="13"/>
      <c r="D208" s="13"/>
      <c r="E208" s="13"/>
      <c r="F208" s="13"/>
      <c r="G208" s="13"/>
      <c r="H208" s="13"/>
      <c r="I208" s="13"/>
      <c r="J208" s="2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row>
    <row r="209" spans="1:58" ht="15.75" customHeight="1">
      <c r="A209" s="13"/>
      <c r="B209" s="13"/>
      <c r="C209" s="13"/>
      <c r="D209" s="13"/>
      <c r="E209" s="13"/>
      <c r="F209" s="13"/>
      <c r="G209" s="13"/>
      <c r="H209" s="13"/>
      <c r="I209" s="13"/>
      <c r="J209" s="2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row>
    <row r="210" spans="1:58" ht="15.75" customHeight="1">
      <c r="A210" s="13"/>
      <c r="B210" s="13"/>
      <c r="C210" s="13"/>
      <c r="D210" s="13"/>
      <c r="E210" s="13"/>
      <c r="F210" s="13"/>
      <c r="G210" s="13"/>
      <c r="H210" s="13"/>
      <c r="I210" s="13"/>
      <c r="J210" s="2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row>
    <row r="211" spans="1:58" ht="15.75" customHeight="1">
      <c r="A211" s="13"/>
      <c r="B211" s="13"/>
      <c r="C211" s="13"/>
      <c r="D211" s="13"/>
      <c r="E211" s="13"/>
      <c r="F211" s="13"/>
      <c r="G211" s="13"/>
      <c r="H211" s="13"/>
      <c r="I211" s="13"/>
      <c r="J211" s="2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row>
    <row r="212" spans="1:58" ht="15.75" customHeight="1">
      <c r="A212" s="13"/>
      <c r="B212" s="13"/>
      <c r="C212" s="13"/>
      <c r="D212" s="13"/>
      <c r="E212" s="13"/>
      <c r="F212" s="13"/>
      <c r="G212" s="13"/>
      <c r="H212" s="13"/>
      <c r="I212" s="13"/>
      <c r="J212" s="2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row>
    <row r="213" spans="1:58" ht="15.75" customHeight="1">
      <c r="A213" s="13"/>
      <c r="B213" s="13"/>
      <c r="C213" s="13"/>
      <c r="D213" s="13"/>
      <c r="E213" s="13"/>
      <c r="F213" s="13"/>
      <c r="G213" s="13"/>
      <c r="H213" s="13"/>
      <c r="I213" s="13"/>
      <c r="J213" s="2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row>
    <row r="214" spans="1:58" ht="15.75" customHeight="1">
      <c r="A214" s="13"/>
      <c r="B214" s="13"/>
      <c r="C214" s="13"/>
      <c r="D214" s="13"/>
      <c r="E214" s="13"/>
      <c r="F214" s="13"/>
      <c r="G214" s="13"/>
      <c r="H214" s="13"/>
      <c r="I214" s="13"/>
      <c r="J214" s="2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row>
    <row r="215" spans="1:58" ht="15.75" customHeight="1">
      <c r="A215" s="13"/>
      <c r="B215" s="13"/>
      <c r="C215" s="13"/>
      <c r="D215" s="13"/>
      <c r="E215" s="13"/>
      <c r="F215" s="13"/>
      <c r="G215" s="13"/>
      <c r="H215" s="13"/>
      <c r="I215" s="13"/>
      <c r="J215" s="2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row>
    <row r="216" spans="1:58" ht="15.75" customHeight="1">
      <c r="A216" s="13"/>
      <c r="B216" s="13"/>
      <c r="C216" s="13"/>
      <c r="D216" s="13"/>
      <c r="E216" s="13"/>
      <c r="F216" s="13"/>
      <c r="G216" s="13"/>
      <c r="H216" s="13"/>
      <c r="I216" s="13"/>
      <c r="J216" s="2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row>
    <row r="217" spans="1:58" ht="15.75" customHeight="1">
      <c r="A217" s="13"/>
      <c r="B217" s="13"/>
      <c r="C217" s="13"/>
      <c r="D217" s="13"/>
      <c r="E217" s="13"/>
      <c r="F217" s="13"/>
      <c r="G217" s="13"/>
      <c r="H217" s="13"/>
      <c r="I217" s="13"/>
      <c r="J217" s="2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row>
    <row r="218" spans="1:58" ht="15.75" customHeight="1">
      <c r="A218" s="13"/>
      <c r="B218" s="13"/>
      <c r="C218" s="13"/>
      <c r="D218" s="13"/>
      <c r="E218" s="13"/>
      <c r="F218" s="13"/>
      <c r="G218" s="13"/>
      <c r="H218" s="13"/>
      <c r="I218" s="13"/>
      <c r="J218" s="2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row>
    <row r="219" spans="1:58" ht="15.75" customHeight="1">
      <c r="A219" s="13"/>
      <c r="B219" s="13"/>
      <c r="C219" s="13"/>
      <c r="D219" s="13"/>
      <c r="E219" s="13"/>
      <c r="F219" s="13"/>
      <c r="G219" s="13"/>
      <c r="H219" s="13"/>
      <c r="I219" s="13"/>
      <c r="J219" s="2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row>
    <row r="220" spans="1:58" ht="15.75" customHeight="1">
      <c r="A220" s="13"/>
      <c r="B220" s="13"/>
      <c r="C220" s="13"/>
      <c r="D220" s="13"/>
      <c r="E220" s="13"/>
      <c r="F220" s="13"/>
      <c r="G220" s="13"/>
      <c r="H220" s="13"/>
      <c r="I220" s="13"/>
      <c r="J220" s="2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row>
    <row r="221" spans="1:58" ht="15.75" customHeight="1">
      <c r="A221" s="13"/>
      <c r="B221" s="13"/>
      <c r="C221" s="13"/>
      <c r="D221" s="13"/>
      <c r="E221" s="13"/>
      <c r="F221" s="13"/>
      <c r="G221" s="13"/>
      <c r="H221" s="13"/>
      <c r="I221" s="13"/>
      <c r="J221" s="2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row>
    <row r="222" spans="1:58" ht="15.75" customHeight="1">
      <c r="A222" s="13"/>
      <c r="B222" s="13"/>
      <c r="C222" s="13"/>
      <c r="D222" s="13"/>
      <c r="E222" s="13"/>
      <c r="F222" s="13"/>
      <c r="G222" s="13"/>
      <c r="H222" s="13"/>
      <c r="I222" s="13"/>
      <c r="J222" s="2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row>
    <row r="223" spans="1:58" ht="15.75" customHeight="1">
      <c r="A223" s="13"/>
      <c r="B223" s="13"/>
      <c r="C223" s="13"/>
      <c r="D223" s="13"/>
      <c r="E223" s="13"/>
      <c r="F223" s="13"/>
      <c r="G223" s="13"/>
      <c r="H223" s="13"/>
      <c r="I223" s="13"/>
      <c r="J223" s="2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row>
    <row r="224" spans="1:58" ht="15.75" customHeight="1">
      <c r="A224" s="13"/>
      <c r="B224" s="13"/>
      <c r="C224" s="13"/>
      <c r="D224" s="13"/>
      <c r="E224" s="13"/>
      <c r="F224" s="13"/>
      <c r="G224" s="13"/>
      <c r="H224" s="13"/>
      <c r="I224" s="13"/>
      <c r="J224" s="2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row>
    <row r="225" spans="1:58" ht="15.75" customHeight="1">
      <c r="A225" s="13"/>
      <c r="B225" s="13"/>
      <c r="C225" s="13"/>
      <c r="D225" s="13"/>
      <c r="E225" s="13"/>
      <c r="F225" s="13"/>
      <c r="G225" s="13"/>
      <c r="H225" s="13"/>
      <c r="I225" s="13"/>
      <c r="J225" s="2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row>
    <row r="226" spans="1:58" ht="15.75" customHeight="1">
      <c r="A226" s="13"/>
      <c r="B226" s="13"/>
      <c r="C226" s="13"/>
      <c r="D226" s="13"/>
      <c r="E226" s="13"/>
      <c r="F226" s="13"/>
      <c r="G226" s="13"/>
      <c r="H226" s="13"/>
      <c r="I226" s="13"/>
      <c r="J226" s="2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row>
    <row r="227" spans="1:58" ht="15.75" customHeight="1">
      <c r="A227" s="13"/>
      <c r="B227" s="13"/>
      <c r="C227" s="13"/>
      <c r="D227" s="13"/>
      <c r="E227" s="13"/>
      <c r="F227" s="13"/>
      <c r="G227" s="13"/>
      <c r="H227" s="13"/>
      <c r="I227" s="13"/>
      <c r="J227" s="2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row>
    <row r="228" spans="1:58" ht="15.75" customHeight="1">
      <c r="A228" s="13"/>
      <c r="B228" s="13"/>
      <c r="C228" s="13"/>
      <c r="D228" s="13"/>
      <c r="E228" s="13"/>
      <c r="F228" s="13"/>
      <c r="G228" s="13"/>
      <c r="H228" s="13"/>
      <c r="I228" s="13"/>
      <c r="J228" s="2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row>
    <row r="229" spans="1:58" ht="15.75" customHeight="1"/>
    <row r="230" spans="1:58" ht="15.75" customHeight="1"/>
    <row r="231" spans="1:58" ht="15.75" customHeight="1"/>
    <row r="232" spans="1:58" ht="15.75" customHeight="1"/>
    <row r="233" spans="1:58" ht="15.75" customHeight="1"/>
    <row r="234" spans="1:58" ht="15.75" customHeight="1"/>
    <row r="235" spans="1:58" ht="15.75" customHeight="1"/>
    <row r="236" spans="1:58" ht="15.75" customHeight="1"/>
    <row r="237" spans="1:58" ht="15.75" customHeight="1"/>
    <row r="238" spans="1:58" ht="15.75" customHeight="1"/>
    <row r="239" spans="1:58" ht="15.75" customHeight="1"/>
    <row r="240" spans="1:58"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sheetData>
  <mergeCells count="46">
    <mergeCell ref="AO1:AO3"/>
    <mergeCell ref="AP1:AP3"/>
    <mergeCell ref="AI2:AI3"/>
    <mergeCell ref="AJ2:AJ3"/>
    <mergeCell ref="AA1:AC1"/>
    <mergeCell ref="AE2:AE3"/>
    <mergeCell ref="AD2:AD3"/>
    <mergeCell ref="Y2:Y3"/>
    <mergeCell ref="Z2:Z3"/>
    <mergeCell ref="AA2:AA3"/>
    <mergeCell ref="AB2:AB3"/>
    <mergeCell ref="AC2:AC3"/>
    <mergeCell ref="AQ1:AQ3"/>
    <mergeCell ref="AR1:AR3"/>
    <mergeCell ref="K2:K3"/>
    <mergeCell ref="L2:L3"/>
    <mergeCell ref="M2:M3"/>
    <mergeCell ref="N2:N3"/>
    <mergeCell ref="O2:O3"/>
    <mergeCell ref="P2:P3"/>
    <mergeCell ref="AD1:AH1"/>
    <mergeCell ref="AI1:AJ1"/>
    <mergeCell ref="AK1:AK3"/>
    <mergeCell ref="AL1:AL3"/>
    <mergeCell ref="AM1:AM3"/>
    <mergeCell ref="AN1:AN3"/>
    <mergeCell ref="AF2:AG2"/>
    <mergeCell ref="AH2:AH3"/>
    <mergeCell ref="K1:N1"/>
    <mergeCell ref="O1:T1"/>
    <mergeCell ref="U1:V1"/>
    <mergeCell ref="W1:X1"/>
    <mergeCell ref="Y1:Z1"/>
    <mergeCell ref="Q2:T2"/>
    <mergeCell ref="U2:U3"/>
    <mergeCell ref="V2:V3"/>
    <mergeCell ref="W2:W3"/>
    <mergeCell ref="X2:X3"/>
    <mergeCell ref="A1:A3"/>
    <mergeCell ref="C1:C3"/>
    <mergeCell ref="H1:H3"/>
    <mergeCell ref="I1:I3"/>
    <mergeCell ref="J1:J3"/>
    <mergeCell ref="B1:B3"/>
    <mergeCell ref="D1:E2"/>
    <mergeCell ref="F1:G2"/>
  </mergeCells>
  <conditionalFormatting sqref="O2:P2 Q3:T3">
    <cfRule type="colorScale" priority="1">
      <colorScale>
        <cfvo type="min"/>
        <cfvo type="max"/>
        <color rgb="FFFFFFFF"/>
        <color rgb="FF57BB8A"/>
      </colorScale>
    </cfRule>
  </conditionalFormatting>
  <dataValidations count="2">
    <dataValidation type="list" allowBlank="1" showErrorMessage="1" sqref="J4:J15" xr:uid="{1B428743-7C42-40F8-9044-7B1074316C80}">
      <formula1>"Positive,Negative"</formula1>
    </dataValidation>
    <dataValidation type="list" allowBlank="1" showErrorMessage="1" sqref="AO4:AP15" xr:uid="{5C61E1A5-8E3E-4E05-80C3-D4C00F0C844E}">
      <formula1>"Not Start,Inprogress,Failed,Passed,Skip"</formula1>
    </dataValidation>
  </dataValidations>
  <hyperlinks>
    <hyperlink ref="AQ9" r:id="rId1" display="https://trueomx.atlassian.net/browse/THL-1395" xr:uid="{49C6806B-22BD-4BAD-AD17-715ADF1C58F1}"/>
    <hyperlink ref="D8" r:id="rId2" xr:uid="{3E90DCF1-6D67-46BD-A4CB-DA27B11713EA}"/>
    <hyperlink ref="D10" r:id="rId3" xr:uid="{4DB62E1B-5745-459F-86DD-50A26DA80860}"/>
    <hyperlink ref="D11" r:id="rId4" xr:uid="{236E0302-896A-477C-A12C-5E555BC2F98C}"/>
    <hyperlink ref="D12" r:id="rId5" xr:uid="{2D86283E-96D3-4D19-8C38-360AE1E233BC}"/>
    <hyperlink ref="AQ6" r:id="rId6" xr:uid="{994BC3E6-1E04-4254-A76F-6AD70BB5EF2D}"/>
    <hyperlink ref="F13" r:id="rId7" xr:uid="{A1E61726-B540-49CA-A7ED-E3E35FBA778C}"/>
    <hyperlink ref="D13" r:id="rId8" xr:uid="{31FC00AF-1110-40EA-B64C-09B976DA0C34}"/>
    <hyperlink ref="D4" r:id="rId9" xr:uid="{697AAE17-CEF5-4522-85FF-3A01D27BCDD5}"/>
    <hyperlink ref="F4" r:id="rId10" xr:uid="{065E307B-C071-4145-8008-4DB477876318}"/>
    <hyperlink ref="D5" r:id="rId11" xr:uid="{8A32C321-78F6-48C7-A4AD-A1F1FB76D8BB}"/>
    <hyperlink ref="F5" r:id="rId12" xr:uid="{EFE0785E-828F-4B5C-BBCF-BF2100FCA03C}"/>
    <hyperlink ref="D6" r:id="rId13" xr:uid="{CCF052B4-87AA-4222-A4A9-ACB927CE62E8}"/>
    <hyperlink ref="F6" r:id="rId14" xr:uid="{92BF8456-36B8-4A8B-B5DC-6CE9ADB6FF7B}"/>
    <hyperlink ref="D7" r:id="rId15" xr:uid="{95A9621C-8334-498C-A668-92A8F7DDDECB}"/>
    <hyperlink ref="F7" r:id="rId16" xr:uid="{EA79A279-D009-494D-9D75-B882015D18A1}"/>
    <hyperlink ref="D9" r:id="rId17" xr:uid="{B2EC19A1-B430-432F-B8CF-269213F75D89}"/>
    <hyperlink ref="F8" r:id="rId18" xr:uid="{A3048E29-0E8F-4D75-834D-172FEAC10753}"/>
    <hyperlink ref="F10" r:id="rId19" xr:uid="{8D5BD3ED-2AC9-43A0-85BC-C4EC3D3F99E9}"/>
    <hyperlink ref="F11" r:id="rId20" xr:uid="{03A07254-2BA8-43FE-9953-700538EDE415}"/>
    <hyperlink ref="F14" r:id="rId21" xr:uid="{75701B10-D1D6-4269-A455-1787938B2801}"/>
    <hyperlink ref="F12" r:id="rId22" xr:uid="{DC7C7F89-9985-4D22-8BA4-DCF3F9FA19D4}"/>
    <hyperlink ref="D14" r:id="rId23" xr:uid="{7CBB89D0-2607-4065-BD78-5A42A2D10206}"/>
    <hyperlink ref="F9" r:id="rId24" xr:uid="{8C1D06FE-FDEA-405D-9599-CF81BBA9AF98}"/>
  </hyperlink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860537B31A29749BF6C1BFDA4D9A5D4" ma:contentTypeVersion="11" ma:contentTypeDescription="Create a new document." ma:contentTypeScope="" ma:versionID="695c419b5e0679fa07d167faefefbc4d">
  <xsd:schema xmlns:xsd="http://www.w3.org/2001/XMLSchema" xmlns:xs="http://www.w3.org/2001/XMLSchema" xmlns:p="http://schemas.microsoft.com/office/2006/metadata/properties" xmlns:ns2="f4238801-fdbf-48e7-ad7a-fa95ffe1e2d8" xmlns:ns3="b8dc7d78-3728-400f-ae92-b0db10cb70d5" targetNamespace="http://schemas.microsoft.com/office/2006/metadata/properties" ma:root="true" ma:fieldsID="d84ed4d3c462b0244a2707733784458e" ns2:_="" ns3:_="">
    <xsd:import namespace="f4238801-fdbf-48e7-ad7a-fa95ffe1e2d8"/>
    <xsd:import namespace="b8dc7d78-3728-400f-ae92-b0db10cb70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238801-fdbf-48e7-ad7a-fa95ffe1e2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41e4a55-089b-4a25-8dcc-f61471648be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8dc7d78-3728-400f-ae92-b0db10cb70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5081bd-1069-4981-b561-32ed23c0ec8d}" ma:internalName="TaxCatchAll" ma:showField="CatchAllData" ma:web="b8dc7d78-3728-400f-ae92-b0db10cb70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4238801-fdbf-48e7-ad7a-fa95ffe1e2d8">
      <Terms xmlns="http://schemas.microsoft.com/office/infopath/2007/PartnerControls"/>
    </lcf76f155ced4ddcb4097134ff3c332f>
    <TaxCatchAll xmlns="b8dc7d78-3728-400f-ae92-b0db10cb70d5" xsi:nil="true"/>
  </documentManagement>
</p:properties>
</file>

<file path=customXml/itemProps1.xml><?xml version="1.0" encoding="utf-8"?>
<ds:datastoreItem xmlns:ds="http://schemas.openxmlformats.org/officeDocument/2006/customXml" ds:itemID="{14548324-B221-4041-8ABC-BDC44D9B8D4F}"/>
</file>

<file path=customXml/itemProps2.xml><?xml version="1.0" encoding="utf-8"?>
<ds:datastoreItem xmlns:ds="http://schemas.openxmlformats.org/officeDocument/2006/customXml" ds:itemID="{2C275F4E-51A8-4A1B-AF21-5B3CFB7354BB}"/>
</file>

<file path=customXml/itemProps3.xml><?xml version="1.0" encoding="utf-8"?>
<ds:datastoreItem xmlns:ds="http://schemas.openxmlformats.org/officeDocument/2006/customXml" ds:itemID="{A636F43A-3749-491B-8A5B-D10E353F843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Wannapa Thongkham</dc:creator>
  <cp:keywords/>
  <dc:description/>
  <cp:lastModifiedBy>Janjira Jankong</cp:lastModifiedBy>
  <cp:revision/>
  <dcterms:created xsi:type="dcterms:W3CDTF">2025-08-27T04:18:18Z</dcterms:created>
  <dcterms:modified xsi:type="dcterms:W3CDTF">2026-06-19T07:22:35Z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0x0101004860537B31A29749BF6C1BFDA4D9A5D4</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6554200</vt:r8>
  </property>
  <property fmtid="{D5CDD505-2E9C-101B-9397-08002B2CF9AE}" pid="10" name="xd_Signature">
    <vt:bool>false</vt:bool>
  </property>
  <property fmtid="{D5CDD505-2E9C-101B-9397-08002B2CF9AE}" pid="11" name="xd_ProgID">
    <vt:lpwstr/>
  </property>
  <property fmtid="{D5CDD505-2E9C-101B-9397-08002B2CF9AE}" pid="12" name="Status">
    <vt:lpwstr>In progress</vt:lpwstr>
  </property>
  <property fmtid="{D5CDD505-2E9C-101B-9397-08002B2CF9AE}" pid="13" name="TemplateUrl">
    <vt:lpwstr/>
  </property>
</Properties>
</file>