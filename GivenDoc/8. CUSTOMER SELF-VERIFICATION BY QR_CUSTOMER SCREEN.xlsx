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truecorp.sharepoint.com/sites/TrueCorp-TrueDtacTH-TotalAccessCommunicationPlc-TechM-Workingarea/Shared Documents/TCS-Project Hub/01. Project/2026/Project Docs/TPM240800011_260077_TOL New Journey (Sales Register) Phase1.1 ONE backlog/QA_Test Case &amp; Result/"/>
    </mc:Choice>
  </mc:AlternateContent>
  <xr:revisionPtr revIDLastSave="1403" documentId="8_{DABFFC37-4B64-490E-8A66-2C52294F44B3}" xr6:coauthVersionLast="47" xr6:coauthVersionMax="47" xr10:uidLastSave="{D725BCED-8973-4C43-BC81-F119365BB9AC}"/>
  <bookViews>
    <workbookView xWindow="-110" yWindow="-110" windowWidth="19420" windowHeight="11500" firstSheet="1" activeTab="1" xr2:uid="{00000000-000D-0000-FFFF-FFFF00000000}"/>
  </bookViews>
  <sheets>
    <sheet name="Scope Backlog 1.1" sheetId="3" r:id="rId1"/>
    <sheet name="Customer ID Verification" sheetId="2" r:id="rId2"/>
  </sheets>
  <definedNames>
    <definedName name="_xlnm._FilterDatabase" localSheetId="1" hidden="1">'Customer ID Verification'!$Z$3:$AA$3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3" roundtripDataChecksum="ehkCw/6soixMWUiOTRPg+PsMCV1vXwR/5G2U/+DFhUk="/>
    </ext>
  </extLst>
</workbook>
</file>

<file path=xl/calcChain.xml><?xml version="1.0" encoding="utf-8"?>
<calcChain xmlns="http://schemas.openxmlformats.org/spreadsheetml/2006/main">
  <c r="AF55" i="2" l="1"/>
  <c r="AE55" i="2"/>
  <c r="AF57" i="2"/>
  <c r="AF56" i="2"/>
  <c r="AF54" i="2"/>
  <c r="AF53" i="2"/>
  <c r="AF52" i="2"/>
  <c r="AE57" i="2"/>
  <c r="AE56" i="2"/>
  <c r="AE54" i="2"/>
  <c r="AE53" i="2"/>
  <c r="AE52" i="2"/>
  <c r="AE60" i="2" l="1"/>
  <c r="AF60" i="2"/>
</calcChain>
</file>

<file path=xl/sharedStrings.xml><?xml version="1.0" encoding="utf-8"?>
<sst xmlns="http://schemas.openxmlformats.org/spreadsheetml/2006/main" count="776" uniqueCount="234">
  <si>
    <t>Refer Backlog No.</t>
  </si>
  <si>
    <t>Funtion</t>
  </si>
  <si>
    <t>Test Result iOS</t>
  </si>
  <si>
    <t>Test Result Android</t>
  </si>
  <si>
    <t>Test Case No.</t>
  </si>
  <si>
    <t>Test Scenario</t>
  </si>
  <si>
    <t>Test Case Type</t>
  </si>
  <si>
    <t>Select Service Type</t>
  </si>
  <si>
    <t>Validate OCR</t>
  </si>
  <si>
    <t>Card type</t>
  </si>
  <si>
    <t>Mobile join CVG</t>
  </si>
  <si>
    <t>Navigate screen</t>
  </si>
  <si>
    <t>Description
 (Design Step)</t>
  </si>
  <si>
    <t>Expected Result</t>
  </si>
  <si>
    <t>Excute by</t>
  </si>
  <si>
    <t>Status iOS</t>
  </si>
  <si>
    <t xml:space="preserve">Status android </t>
  </si>
  <si>
    <t>Actual Result
 (Design Step)</t>
  </si>
  <si>
    <t>Refer Epic Link</t>
  </si>
  <si>
    <t>Link Relate Story</t>
  </si>
  <si>
    <t>บัตรประชาชน</t>
  </si>
  <si>
    <t>หนังสือเดินทาง</t>
  </si>
  <si>
    <t>บัตรอื่นๆ</t>
  </si>
  <si>
    <t>OCR</t>
  </si>
  <si>
    <t>Liveness Verification</t>
  </si>
  <si>
    <t>Result of ID Verification &amp; Liveness</t>
  </si>
  <si>
    <t>Link</t>
  </si>
  <si>
    <t>Details</t>
  </si>
  <si>
    <t>TOL</t>
  </si>
  <si>
    <t>TMH</t>
  </si>
  <si>
    <t>TrueID</t>
  </si>
  <si>
    <t>FLP</t>
  </si>
  <si>
    <t>Pass
Get information All/Some field</t>
  </si>
  <si>
    <r>
      <rPr>
        <b/>
        <sz val="10"/>
        <color rgb="FF000000"/>
        <rFont val="Tahoma"/>
      </rPr>
      <t xml:space="preserve">Take card type 
</t>
    </r>
    <r>
      <rPr>
        <b/>
        <sz val="10"/>
        <color rgb="FFFF0000"/>
        <rFont val="Tahoma"/>
      </rPr>
      <t xml:space="preserve">Not </t>
    </r>
    <r>
      <rPr>
        <b/>
        <sz val="10"/>
        <color rgb="FF000000"/>
        <rFont val="Tahoma"/>
      </rPr>
      <t>Match</t>
    </r>
  </si>
  <si>
    <t>บัตรต่างด้าว</t>
  </si>
  <si>
    <t>ใบอนุญาตทำงานแบบเล่ม</t>
  </si>
  <si>
    <t>ใบอนุญาตทำงาน</t>
  </si>
  <si>
    <t>ใบขับขี่</t>
  </si>
  <si>
    <t>New</t>
  </si>
  <si>
    <t>Existing</t>
  </si>
  <si>
    <t>Pass</t>
  </si>
  <si>
    <t>Not Pass</t>
  </si>
  <si>
    <t>3.Register TOL/CVG via online channel</t>
  </si>
  <si>
    <t>Customer ID Verification</t>
  </si>
  <si>
    <t>iOS</t>
  </si>
  <si>
    <t>Version Built : 
 iOS TOL 73.3 (865)</t>
  </si>
  <si>
    <t>Android</t>
  </si>
  <si>
    <t>Version Built : Android  73.3.052203 (TOL-CICD)(312)</t>
  </si>
  <si>
    <t>ON_QR_CUS_01</t>
  </si>
  <si>
    <t>Verify Default screen of QR Code</t>
  </si>
  <si>
    <t>Positive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</si>
  <si>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Select New mobile on EXISTING TMH NUMBER (2P/4POTT)
10. CUSTOMER ID VALIDATION FOR NEW TMH ONLY -  (2P/4POTT) Pass
11. Navigate to Customer Self-Verification QR / Ref Code : STAFF SCREEN
12. STAFF save image QR code sent to Customer
13. Verify Default screen of QR Code</t>
  </si>
  <si>
    <t>1. Display QR is correctly 
2. Headers: QR สำหรับยืนยันตัวตนเพื่อลงทะเบียนทรูออนไลน์
3. images: QR code
4. หมดอายุ : DD/MM/YYYY(ค.ศ.) HH:MM
5. วันและเวลาที่สร้าง: DD/MM/YYYY(ค.ศ.) HH:MM
6. รหัส (ชื่อร้านค้า) : 72678908 (ร้านปรีชา อัจฉราอัครโชติ สาขา โฮมโปร พงษ์เพชร-ประชาชื่น อันดับที่ 1 )
7. ผู้ทำรายการ: 0XX-XXX-XXXX
8. รหัสอ้างอิง : AB018Y99 (Slugid)
Refer figma : https://www.figma.com/design/yjyoAP0EMDXJST790SY49T/ONE006-ONE-APP---TOL?node-id=12750-81625&amp;t=27nclYM7V1MC2z92-4</t>
  </si>
  <si>
    <t>Wannapa Thongkham</t>
  </si>
  <si>
    <t>Passed</t>
  </si>
  <si>
    <t>Android Refer defect
https://trueomx.atlassian.net/browse/THL-1356</t>
  </si>
  <si>
    <t>Online channel THL-1089</t>
  </si>
  <si>
    <t>IOS</t>
  </si>
  <si>
    <t>version TOL 73.7 (871)</t>
  </si>
  <si>
    <t>"Version Built :73.8.060417 (TOL-CICD)(318)</t>
  </si>
  <si>
    <t>ON_QR_CUS_02</t>
  </si>
  <si>
    <t>Verify QR Code screen In case
 - Press อินเทอร์เน็ต</t>
  </si>
  <si>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</si>
  <si>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t>
  </si>
  <si>
    <t>1.Customer scan QR success
2.Take Card and display result OCR success
Refer figma : https://www.figma.com/design/yjyoAP0EMDXJST790SY49T/ONE006-ONE-APP---TOL?node-id=2687-174758&amp;t=fqEZinBb3EaEcFNK-4
3.Navigate to Result of ID Verification &amp; Liveness screen
 - Success
Refer figma : https://www.figma.com/design/yjyoAP0EMDXJST790SY49T/ONE006-ONE-APP---TOL?node-id=2687-174730&amp;t=fqEZinBb3EaEcFNK-4</t>
  </si>
  <si>
    <t>Supawit Kongjarean</t>
  </si>
  <si>
    <t>ปัจจุบันยังไม่ได้รับ callback url ที่ถูกต้องมาหน้าจอหลังทำ OCR+Liveness Pass จึงแสดงเป็นหน้าว่าง</t>
  </si>
  <si>
    <t>ON_QR_CUS_03</t>
  </si>
  <si>
    <t xml:space="preserve">Verify QR Code screen In case
 - Press อินเทอร์เน็ต
 - Press เบอร์บ้าน </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</si>
  <si>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เบอร์บ้าน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t>
  </si>
  <si>
    <t>ON_QR_CUS_04</t>
  </si>
  <si>
    <t>Verify QR Code screen In case
 - Press อินเทอร์เน็ต
 - Press ทรูไอดีทีวี</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</si>
  <si>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ทรูไอดีทีวี
6. Press รูปแบบการขาย "ออนไลน์"
7. Navigate to Customer ID Validation screen
     - Select card and Input Customer ID Same Location
8. Pass TOL Validation (NEW TOL)
9. Navigate to Customer Self-Verification QR / Ref Code : STAFF SCREEN
10. STAFF save image QR code sent to Customer
11. CUSTOMER Scan QR code</t>
  </si>
  <si>
    <t>ON_QR_CUS_05</t>
  </si>
  <si>
    <t>Negative</t>
  </si>
  <si>
    <t>1.Customer scan QR success
2.Take Card and display result OCR success
Refer figma : https://www.figma.com/design/yjyoAP0EMDXJST790SY49T/ONE006-ONE-APP---TOL?node-id=2687-174758&amp;t=fqEZinBb3EaEcFNK-4
3.Navigate to Result of ID Verification &amp; Liveness screen
 - Error
Refer figma : https://www.figma.com/design/yjyoAP0EMDXJST790SY49T/ONE006-ONE-APP---TOL?node-id=2687-174744&amp;t=fqEZinBb3EaEcFNK-4</t>
  </si>
  <si>
    <t>Skip</t>
  </si>
  <si>
    <t>- 1P flow not go to liveness flow so need to test with Proxyman
- 16/6/69 หลังจากลอง ไม่สามารถ Test ผ่าน Proxyman ได้ 
   Refer Link : https://truecorp.sharepoint.com/:f:/s/TrueCorp-TrueDtacTH-TotalAccessCommunicationPlc-TechM-Workingarea/IgD8AeJIm3SNQJS0_my6En7tAcZGUk9WXboLN1Oy4tyUhdQ?e=XI4Fhx</t>
  </si>
  <si>
    <t>ON_QR_CUS_06</t>
  </si>
  <si>
    <t>1P flow not go to liveness flow so need to test with Proxyman
- 16/6/69 หลังจากลอง ไม่สามารถ Test ผ่าน Proxyman ได้ 
   Refer Link : https://truecorp.sharepoint.com/:f:/s/TrueCorp-TrueDtacTH-TotalAccessCommunicationPlc-TechM-Workingarea/IgD8AeJIm3SNQJS0_my6En7tAcZGUk9WXboLN1Oy4tyUhdQ?e=XI4Fhx</t>
  </si>
  <si>
    <t>ON_QR_CUS_07</t>
  </si>
  <si>
    <t>ON_QR_CUS_08</t>
  </si>
  <si>
    <t xml:space="preserve">Verify QR Code screen In case
 - Press อินเทอร์เน็ต
 - Press เบอร์มือถือ
</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</si>
  <si>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6. Press รูปแบบการขาย "ออนไลน์"
7. Navigate to Customer ID Validation screen
     - Select card and Input Customer ID Same Location
8. Pass TOL Validation (NEW TOL)
9. Pass CUSTOMER ID VALIDATION FOR NEW TMH ONLY -  (2P/4POTT)
10. Navigate to Customer Self-Verification QR / Ref Code : STAFF SCREEN
11. STAFF save image QR code sent to Customer
12. CUSTOMER Scan QR code</t>
  </si>
  <si>
    <t>1.Customer scan QR success
2.Take Card and display result OCR success
Refer figma : https://www.figma.com/design/yjyoAP0EMDXJST790SY49T/ONE006-ONE-APP---TOL?node-id=2687-174758&amp;t=fqEZinBb3EaEcFNK-4
3.Navigate to Liveness Verification
Refer figma : https://www.figma.com/design/yjyoAP0EMDXJST790SY49T/ONE006-ONE-APP---TOL?node-id=2687-174726&amp;t=fqEZinBb3EaEcFNK-4
4.Navigate to Result of ID Verification &amp; Liveness screen
 - Success
Refer figma : https://www.figma.com/design/yjyoAP0EMDXJST790SY49T/ONE006-ONE-APP---TOL?node-id=2687-174730&amp;t=fqEZinBb3EaEcFNK-4</t>
  </si>
  <si>
    <t>Janjira Jankong</t>
  </si>
  <si>
    <r>
      <rPr>
        <strike/>
        <sz val="10"/>
        <color rgb="FFFF0000"/>
        <rFont val="Tahoma"/>
      </rPr>
      <t xml:space="preserve">ปัจจุบันยังไม่ได้รับ callback url ที่ถูกต้องมาหน้าจอหลังทำ OCR+Liveness Pass จึงแสดงเป็นหน้าว่าง
</t>
    </r>
    <r>
      <rPr>
        <sz val="10"/>
        <color rgb="FF000000"/>
        <rFont val="Tahoma"/>
      </rPr>
      <t>เลือกเบอร์เดิม</t>
    </r>
  </si>
  <si>
    <t>ON_QR_CUS_09</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</si>
  <si>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6. Press รูปแบบการขาย "ออนไลน์"
7. Navigate to Customer ID Validation screen
     - Select card and Input Customer ID Same Location
8. Pass TOL Validation (NEW TOL)
9. Navigate to EXISTING TMH NUMBER_x000B_(2P/4POTT)
  - Press Existing number
10. Navigate to Customer Self-Verification QR / Ref Code : STAFF SCREEN
11. STAFF save image QR code sent to Customer
12. CUSTOMER Scan QR code</t>
  </si>
  <si>
    <t>1.Customer scan QR success
2.Take Card and display result OCR success
Refer figma : https://www.figma.com/design/yjyoAP0EMDXJST790SY49T/ONE006-ONE-APP---TOL?node-id=2687-174758&amp;t=fqEZinBb3EaEcFNK-4
3.Navigate to Result of ID Verification &amp; Liveness screen
 - Error
Refer figma : https://www.figma.com/design/yjyoAP0EMDXJST790SY49T/ONE006-ONE-APP---TOL?node-id=2687-174730&amp;t=fqEZinBb3EaEcFNK-4</t>
  </si>
  <si>
    <t>Thanat Siritanyarat
Supawit Kongjarean</t>
  </si>
  <si>
    <t>ON_QR_CUS_10</t>
  </si>
  <si>
    <t xml:space="preserve">Verify QR Code screen In case
 - Press อินเทอร์เน็ต
 - Press เบอร์มือถือ
 - Press ทรูไอดีทีวี
 - Press เบอร์บ้าน </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</si>
  <si>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Navigate to EXISTING TMH NUMBER (2P/4POTT)
  - Press Existing number
10. Navigate to Customer Self-Verification QR / Ref Code : STAFF SCREEN
11. STAFF save image QR code sent to Customer
12. CUSTOMER Scan QR code</t>
  </si>
  <si>
    <r>
      <rPr>
        <strike/>
        <sz val="10"/>
        <color rgb="FFFF0000"/>
        <rFont val="Tahoma"/>
      </rPr>
      <t xml:space="preserve">ปัจจุบันยังไม่ได้รับ callback url ที่ถูกต้องมาหน้าจอหลังทำ OCR+Liveness Pass จึงแสดงเป็นหน้าว่าง
</t>
    </r>
    <r>
      <rPr>
        <sz val="10"/>
        <color rgb="FF000000"/>
        <rFont val="Tahoma"/>
      </rPr>
      <t xml:space="preserve">
เลือกเบอร์เดิม</t>
    </r>
  </si>
  <si>
    <t>ON_QR_CUS_11</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</si>
  <si>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Pass CUSTOMER ID VALIDATION FOR NEW TMH ONLY -  (2P/4POTT)
10. Navigate to Customer Self-Verification QR / Ref Code : STAFF SCREEN
11. STAFF save image QR code sent to Customer
12. CUSTOMER Scan QR code</t>
  </si>
  <si>
    <t>1.Customer scan QR success
2.Take Card and display result OCR success
Refer figma : https://www.figma.com/design/yjyoAP0EMDXJST790SY49T/ONE006-ONE-APP---TOL?node-id=2687-174758&amp;t=fqEZinBb3EaEcFNK-4
3.Navigate to Liveness Verification
Refer figma : https://www.figma.com/design/yjyoAP0EMDXJST790SY49T/ONE006-ONE-APP---TOL?node-id=2687-174726&amp;t=fqEZinBb3EaEcFNK-4
4.Navigate to Result of ID Verification &amp; Liveness screen
 - Not Success
Refer figma : https://www.figma.com/design/yjyoAP0EMDXJST790SY49T/ONE006-ONE-APP---TOL?node-id=2687-174730&amp;t=fqEZinBb3EaEcFNK-4</t>
  </si>
  <si>
    <t>ON_QR_CUS_12</t>
  </si>
  <si>
    <t>Verify customer in case :
 - Register 2P/4POTT
 - OCR บัตรประชาชน
 - Check dopa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</si>
  <si>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บัตรประชาชน
10. The screen display รายละเอียดเอกสารยืนยันตัวตน is correct
11. Click 'ยืนยันข้อมูล'</t>
  </si>
  <si>
    <t>The system will navigate to ..
 - Liveness Verification, if New Mobile
   Refer figma : https://www.figma.com/design/yjyoAP0EMDXJST790SY49T/ONE006-ONE-APP---TOL?node-id=2687-174725&amp;t=NsY4cR0eqonvzOxd-4
-  Result of ID Verification &amp; Liveness, if select existing Mobile or TOL STD
   Refer figma : https://www.figma.com/design/yjyoAP0EMDXJST790SY49T/ONE006-ONE-APP---TOL?node-id=2687-174728&amp;t=NsY4cR0eqonvzOxd-4</t>
  </si>
  <si>
    <t>https://trueomx.atlassian.net/browse/THL-566</t>
  </si>
  <si>
    <t>ON_QR_CUS_13</t>
  </si>
  <si>
    <t>Verify customer in case :
 - Register 2P/4POTT
 - OCR บัตรประชาชน
 - Check dopa fail</t>
  </si>
  <si>
    <t>When the  system will display error msg. 'ข้อมูลบัตรประชาชนของคุณ ไม่ตรงกับ
ฐานข้อมูลกรมการปกครอง (DOPA) กรุณาตรวจสอบและลองใหม่อีกครั้ง' 
refer figma :https://www.figma.com/design/yjyoAP0EMDXJST790SY49T/ONE006-ONE-APP---TOL?node-id=2687-174759&amp;t=NsY4cR0eqonvzOxd-4</t>
  </si>
  <si>
    <t xml:space="preserve">
Supawit Kongjarean</t>
  </si>
  <si>
    <t xml:space="preserve">เนื่องจากว่า SA แจ้งว่าไม่สามารถจำลองเพื่อให้เกิดเคสนี้ได้ และ QA Room2 เทสแบบ By pass จึงไม่เจอ Error message นี้ค่ะ (แต่เบื้องต้นทาง Dev ได้แจ้งไว้ว่ามีการ test scenario นี้ในฝั่ง local แล้วค่ะ)
2025-10-20 11:57:14.170|DEBUG|aofserver-macbbok.local||||||||||||||/oneCommon/commonDipchipValidateDopa|1|0|MRTR||{"pId":"1231234567890","chipId":"2000899991111222","bp1Number":"10070080010"}||||||9451E0DF9E3A4F9D833A59EA32A13C4B|ALL|MRTR||
2025-10-20 11:57:14.174|DEBUG|aofserver-macbbok.local||||||||||||||/oneCommon/commonDipchipValidateDopa|2|0|API_GATEWAY|validateDopa|"https://test-apigw.dtac.co.th/customerManagement/MDID/v1/customer?fields=ZkHUI3WeD%2B987pkX8gwGrubtWyk9yEFkVK8CVRCKHwGWNeT4Av81M9%2BEY%2Fkdn28NDxMAsjOS2zF54jcSOBUfeN7t0M%2BnElaVE95Q5MVagP9PLSka5sp9%2BeiP8vrHNbu3QJ8r3XUQjC5OERO%2BX7C4oU3S%2FvSJmAnVHv93kVnjkQb7%2F4BdcLRLdqRQBSIg0Lf6OnBrg%2BJaPYRcrh4dXv1VZZZ7F1kjnJ9gm8TqsDCSR0D2ctPNSqHFzmKy4irvD39rtU3dmAASPjDBd4%2FE70EAbXspsbrFNjepGdgunBKAluM%3D"||||||9451E0DF9E3A4F9D833A59EA32A13C4B|ALL|API_GATEWAY|IqhlpfZC6kv+JnHUOrgVH2191nMg308fHWIs/DQRtNxIuBv3pDG1mCBD9z5vlPLc6mIyfWPhYjTCwlsMR8QFwpd5s7BlMAvO7Pe45zr/YTHihSS52O0JRJ2yGfUVVXDlv71spybfMg7HPnIKOl1uhwIjcK+9KpfzDsXD7Pzbjv5AYk2K1U/INKaIko0tYaRJvJyGnGyYPjxC+2PRKdnhL0CicmpfWAE0IguHwicdanCtIgpf4hZrNBuvmmWsGoVTBQ+Z5pbPtGx6dj0/NVdm1Oj36pXWv5nd4UPDFGmd/USjDSAMxiu7VjhM8t6TNUjRwewU4MLEUNlq0TNKIVORRDnrDKY6FANUxnNlHPG6cBLCQDhc0OAK/CRagYH3yAaIWWaBPXM26UUtitSW1ezK3fj4si0/yECS7FMg6WgF3Pn1xPqxTU3K+pnqbguCdnWtAqheuDxsq7ZjvBKVihdiNqxqU7A5e97PkPFoxLuZFQTK/KecPwJ24s4DencRIV/zr88UcFGYkrdGl8dmRDTh1g==|
2025-10-20 11:57:14.175|DEBUG|aofserver-macbbok.local||||||||||||||/oneCommon/commonDipchipValidateDopa|3|0|API_GATEWAY|validateDopa|{"transactionId":"F65F8CB3-B322-43B1-9D3E-4FDBDEB93ACA","timestamp":"2025-10-15T11:45:00.292","code":"500.211.0000","status":"6","message":"Internal Server Error","referenceError":"Internal System Error: {ระบบมีปัญหา}"}||||||9451E0DF9E3A4F9D833A59EA32A13C4B|ALL|API_GATEWAY|IqhlpfZC6kv+JnHUOrgVH2191nMg308fHWIs/DQRtNxIuBv3pDG1mCBD9z5vlPLc6mIyfWPhYjTCwlsMR8QFwpd5s7BlMAvO7Pe45zr/YTHihSS52O0JRJ2yGfUVVXDlv71spybfMg7HPnIKOl1uhwIjcK+9KpfzDsXD7Pzbjv5AYk2K1U/INKaIko0tYaRJvJyGnGyYPjxC+2PRKdnhL0CicmpfWAE0IguHwicdanCtIgpf4hZrNBuvmmWsGoVTBQ+Z5pbPtGx6dj0/NVdm1Oj36pXWv5nd4UPDFGmd/USjDSAMxiu7VjhM8t6TNUjRwewU4MLEUNlq0TNKIVORRDnrDKY6FANUxnNlHPG6cBLCQDhc0OAK/CRagYH3yAaIWWaBPXM26UUtitSW1ezK3fj4si0/yECS7FMg6WgF3Pn1xPqxTU3K+pnqbguCdnWtAqheuDxsq7ZjvBKVihdiNqxqU7A5e97PkPFoxLuZFQTK/KecPwJ24s4DencRIV/zr88UcFGYkrdGl8dmRDTh1g==|500.211.0000
2025-10-20 11:57:14.176|DEBUG|aofserver-macbbok.local||||||||||||||/oneCommon/commonDipchipValidateDopa|4|5|MRTR|commonDipchipValidateDopa|{"codeType":"S","code":"200","desc":"","systemMessage":"","replaceMessage":[],"responseDateTime":"20-10-2568 11:57","data":{"dopaStatus":"pass","dopaFlag":"disconnect","isDopaByPass":false,"verificationDopa":"N"}}||||||9451E0DF9E3A4F9D833A59EA32A13C4B|ALL|MRTR||
</t>
  </si>
  <si>
    <t>Version Built : TOL 73.3 (865)</t>
  </si>
  <si>
    <t>Version Built : 73.1.051116 (TOL-CICD) (308)</t>
  </si>
  <si>
    <t>ON_QR_CUS_14</t>
  </si>
  <si>
    <t>Verify customer in case :
 - OCR Take photo card Type is : บัตรประชาชน
 - Take photo OCR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</si>
  <si>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บัตรประชาชน</t>
  </si>
  <si>
    <t>The system will get information from id card display on รายละเอียดเอกสารยืนยันตัวตน screen is correct.
- เลขบัตรประจำตัวประชาชน *
- ชื่อ *
- นามสกุล *
- วันเดือนปีเกิด *
Refer figma : https://www.figma.com/design/yjyoAP0EMDXJST790SY49T/ONE006-ONE-APP---TOL?node-id=2687-174759&amp;t=NsY4cR0eqonvzOxd-4</t>
  </si>
  <si>
    <t>Senior CMSales
User : 0883961019/0883961024
Pass : 111111
Address ID : 36309222
Thai ID : 1623403911414</t>
  </si>
  <si>
    <t>ON_QR_CUS_15</t>
  </si>
  <si>
    <t>Verify customer in case :
 - OCR Take photo card Type is : บัตรประชาชน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</si>
  <si>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บัตรประชาชน</t>
  </si>
  <si>
    <t xml:space="preserve">1.The system will display error msg. 'กรุณาลองใหม่อีกครั้ง ถ่ายรูปให้เห็นข้อมูลบน เอกสารอย่างชัดเจน'
Refer figma : 
2.When press "ถ่ายเอกสารใหม่" to take card again
</t>
  </si>
  <si>
    <t>Senior CMSales
User : 0883961019/0883961024
Pass : 111111
Address ID : 36309222</t>
  </si>
  <si>
    <t>ON_QR_CUS_16</t>
  </si>
  <si>
    <t>Verify customer in case :
 - OCR Take photo Card Type is : หนังสือเดินทาง
 - Take photo OCR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</si>
  <si>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หนังสือเดินทาง</t>
  </si>
  <si>
    <r>
      <rPr>
        <sz val="10"/>
        <color rgb="FF000000"/>
        <rFont val="Tahoma"/>
      </rPr>
      <t>The system will get information from id card display on รายละเอียดเอกสารยืนยันตัวตน screen is correct.
- เลขที่บัตรที่ใช้ลงทะเบียน</t>
    </r>
    <r>
      <rPr>
        <sz val="10"/>
        <color rgb="FFFF0000"/>
        <rFont val="Tahoma"/>
      </rPr>
      <t xml:space="preserve"> *
</t>
    </r>
    <r>
      <rPr>
        <sz val="10"/>
        <color rgb="FF000000"/>
        <rFont val="Tahoma"/>
      </rPr>
      <t>- ชื่อ</t>
    </r>
    <r>
      <rPr>
        <sz val="10"/>
        <color rgb="FFFF0000"/>
        <rFont val="Tahoma"/>
      </rPr>
      <t xml:space="preserve"> *
</t>
    </r>
    <r>
      <rPr>
        <sz val="10"/>
        <color rgb="FF000000"/>
        <rFont val="Tahoma"/>
      </rPr>
      <t>- นามสกุล</t>
    </r>
    <r>
      <rPr>
        <sz val="10"/>
        <color rgb="FFFF0000"/>
        <rFont val="Tahoma"/>
      </rPr>
      <t xml:space="preserve"> *
</t>
    </r>
    <r>
      <rPr>
        <sz val="10"/>
        <color rgb="FF000000"/>
        <rFont val="Tahoma"/>
      </rPr>
      <t>- วันเดือนปีเกิด</t>
    </r>
    <r>
      <rPr>
        <sz val="10"/>
        <color rgb="FFFF0000"/>
        <rFont val="Tahoma"/>
      </rPr>
      <t xml:space="preserve"> *
</t>
    </r>
    <r>
      <rPr>
        <sz val="10"/>
        <color rgb="FF000000"/>
        <rFont val="Tahoma"/>
      </rPr>
      <t xml:space="preserve">- วันหมดอายุบัตร </t>
    </r>
    <r>
      <rPr>
        <sz val="10"/>
        <color rgb="FFFF0000"/>
        <rFont val="Tahoma"/>
      </rPr>
      <t xml:space="preserve">*
</t>
    </r>
    <r>
      <rPr>
        <sz val="10"/>
        <color rgb="FF000000"/>
        <rFont val="Tahoma"/>
      </rPr>
      <t>Refer figma https://www.figma.com/design/yjyoAP0EMDXJST790SY49T/ONE006-ONE-APP---TOL?node-id=4146-257278&amp;t=NsY4cR0eqonvzOxd-4</t>
    </r>
  </si>
  <si>
    <t>Senior CMSales
User : 0883961019/0883961024
Pass : 111111
Address ID : 36309222
Passport ID : AC7890016</t>
  </si>
  <si>
    <t>ON_QR_CUS_17</t>
  </si>
  <si>
    <t>Verify customer in case :
 - OCR Take photo Card Type is : หนังสือเดินทาง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</si>
  <si>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หนังสือเดินทาง</t>
  </si>
  <si>
    <t>ON_QR_CUS_18</t>
  </si>
  <si>
    <t>Verify customer in case :
 - OCR Take photo Card Type is : บัตรต่างด้าว
 - Take photo OCR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</si>
  <si>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บัตรต่างด้าว</t>
  </si>
  <si>
    <r>
      <t>The system will get information from id card display on รายละเอียดเอกสารยืนยันตัวตน screen is correct.
- เลขที่บัตรที่ใช้ลงทะเบียน</t>
    </r>
    <r>
      <rPr>
        <sz val="10"/>
        <color rgb="FFFF0000"/>
        <rFont val="Tahoma"/>
      </rPr>
      <t xml:space="preserve"> *</t>
    </r>
    <r>
      <rPr>
        <sz val="10"/>
        <color theme="1"/>
        <rFont val="Tahoma"/>
      </rPr>
      <t>, Not prefill information</t>
    </r>
  </si>
  <si>
    <t>Senior CMSales
User : 0883961019/0883961024
Pass : 111111
Address ID : 36309222
Alien Card : 0072011129851</t>
  </si>
  <si>
    <t>ON_QR_CUS_19</t>
  </si>
  <si>
    <t>Verify customer in case :
 - OCR Take photo Card Type is : บัตรต่างด้าว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</si>
  <si>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บัตรต่างด้าว</t>
  </si>
  <si>
    <r>
      <rPr>
        <sz val="10"/>
        <color rgb="FF000000"/>
        <rFont val="Arial"/>
        <scheme val="minor"/>
      </rPr>
      <t xml:space="preserve">Issue รอบ 1.0
Issue Uppass
</t>
    </r>
    <r>
      <rPr>
        <sz val="10"/>
        <color rgb="FF1155CC"/>
        <rFont val="Arial"/>
        <scheme val="minor"/>
      </rPr>
      <t xml:space="preserve">https://trueomx.atlassian.net/browse/THL-579
</t>
    </r>
    <r>
      <rPr>
        <sz val="10"/>
        <color rgb="FF000000"/>
        <rFont val="Arial"/>
        <scheme val="minor"/>
      </rPr>
      <t>28/10/68 test อีกครั้งพบว่าเช็คข้อมูลเป็นเอกสารไม่ชัดเจน และไม่ไปหน้าข้อมูลยืนยันตัวตน refer video จาก link bug
อาจจะต้องเทสใหม่ด้วยเอกสารที่คุณมายด์เตรียมให้อีกครั้งนึง</t>
    </r>
  </si>
  <si>
    <t>ON_QR_CUS_20</t>
  </si>
  <si>
    <t>Verify customer in case :
 - OCR Take photo &gt; Card Type is : ใบอนุญาตทำงานแบบเล่ม
 - Take photo OCR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</si>
  <si>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ใบอนุญาตทำงานแบบเล่ม</t>
  </si>
  <si>
    <t>PO Confirm Skip Test เนื่องจาก ไม่มี Data ใบอนุญาตทำงานแบบเล่ม</t>
  </si>
  <si>
    <t>ON_QR_CUS_21</t>
  </si>
  <si>
    <t>Verify customer in case :
 - OCR Take photo &gt; Card Type is : ใบอนุญาตทำงานแบบเล่ม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</si>
  <si>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ใบอนุญาตทำงานแบบเล่ม</t>
  </si>
  <si>
    <t xml:space="preserve">1.The system will display error msg. 'กรุณาลองใหม่อีกครั้ง ถ่ายรูปให้เห็นข้อมูลบน เอกสารอย่างชัดเจน'
Refer figma : https://www.figma.com/design/yjyoAP0EMDXJST790SY49T/ONE006-ONE-APP---TOL?node-id=2687-174759&amp;t=eQOy5upuZNn8L15u-4
2.When press "ถ่ายเอกสารใหม่" to take card again
</t>
  </si>
  <si>
    <t>Senior CMSales
User : 0883961019/0883961024
Pass : 111111
Address ID : 36309222
ใบอนุญาตทำงานแบบเล่ม : KHM-1234567-001</t>
  </si>
  <si>
    <t>ON_QR_CUS_22</t>
  </si>
  <si>
    <t>Verify customer in case :
 - OCR Take photo &gt; Card Type is : ใบอนุญาตทำงาน
 - Take photo OCR pass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</si>
  <si>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ใบอนุญาตทำงาน</t>
  </si>
  <si>
    <r>
      <rPr>
        <sz val="10"/>
        <color rgb="FF000000"/>
        <rFont val="Tahoma"/>
      </rPr>
      <t>The system will get information from id card display on รายละเอียดเอกสารยืนยันตัวตน screen is correct.
- เลขที่บัตรที่ใช้ลงทะเบียน</t>
    </r>
    <r>
      <rPr>
        <sz val="10"/>
        <color rgb="FFFF0000"/>
        <rFont val="Tahoma"/>
      </rPr>
      <t xml:space="preserve"> *</t>
    </r>
    <r>
      <rPr>
        <sz val="10"/>
        <color rgb="FF000000"/>
        <rFont val="Tahoma"/>
      </rPr>
      <t>, Not prefill information</t>
    </r>
  </si>
  <si>
    <t>PO Confirm Skip Test เนื่องจาก ไม่มี Data ใบอนุญาตทำงาน</t>
  </si>
  <si>
    <t>Version Built : iOS TOL 73.3 (869)</t>
  </si>
  <si>
    <t>ON_QR_CUS_23</t>
  </si>
  <si>
    <t>Verify customer in case :
 - OCR ake photo &gt; Card Type is : ใบอนุญาตทำงาน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</si>
  <si>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ใบอนุญาตทำงาน</t>
  </si>
  <si>
    <t>Senior CMSales
User : 0883961019/0883961024
Pass : 111111
Address ID : 36309222
ใบอนุญาตทำงาน : MM-9876543-02</t>
  </si>
  <si>
    <t>ON_QR_CUS_24</t>
  </si>
  <si>
    <t>Verify customer in case :
 - OCR Take photo &gt; Card Type is : ใบขับขี่
 - Take photo OCR passed</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</si>
  <si>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 ใบขับขี่</t>
  </si>
  <si>
    <r>
      <rPr>
        <sz val="10"/>
        <color rgb="FF000000"/>
        <rFont val="Tahoma"/>
      </rPr>
      <t xml:space="preserve">Senior CMSales
User : 0883961019/0883961024
Pass : 111111
Address ID : 36309222
ใบขับขี่ : 65110052
</t>
    </r>
    <r>
      <rPr>
        <b/>
        <sz val="10"/>
        <color rgb="FF0070C0"/>
        <rFont val="Tahoma"/>
      </rPr>
      <t>กรณีเลือกบัตรอื่นๆ เมื่อถ่ายรูปบัตรเสร็จ จะต้องกรอกข้อมูลเองทั้งหมด รวมถึง ID ด้วย</t>
    </r>
  </si>
  <si>
    <t>ON_QR_CUS_25</t>
  </si>
  <si>
    <t>Verify customer in case :
 - OCR Take photo &gt; Card Type is : ใบขับขี่
 - Take card type Not Match</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</si>
  <si>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Take photo card type is not : ใบขับขี่</t>
  </si>
  <si>
    <t>Skip Test เนื่องจากใบขับขี่ OCR แล้วต้องการข้อมูลเองทั้งหมด</t>
  </si>
  <si>
    <t>ON_QR_CUS_26</t>
  </si>
  <si>
    <t xml:space="preserve">Verify field 'เลขที่บัตรที่ใช้ลงทะเบียน' on รายละเอียดเอกสารยืนยันตัวตน screen In case
 -  Input A-Z / number &lt;= 20
 -  Input A-Z / number &gt; 20
 -  Copy and paste A-Z / number &gt; 20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</si>
  <si>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Fill information field 'เลขที่บัตรที่ใช้ลงทะเบียน'</t>
  </si>
  <si>
    <t xml:space="preserve">- Display placeholder text is เลขที่บัตรที่ใช้ลงทะเบียน
- Can input A-Z / number &lt;= 20
- In case Copy and paste A-Z / number &gt; 20 will display information 20 Character 
</t>
  </si>
  <si>
    <t>Update : ให้อิง Result ตามที่ Uppass ทำมา
- Amdroid สามารถใส่มากกว่า 20 ตัวอักษรได้</t>
  </si>
  <si>
    <t>ON_QR_CUS_27</t>
  </si>
  <si>
    <t>Verify field 'ชื่อ' on รายละเอียดเอกสารยืนยันตัวตน screen In case
 - Input ก-ฮ / A-Z</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</si>
  <si>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Fill information field 'ชื่อ'</t>
  </si>
  <si>
    <t>Display placeholder text is ชื่อ
Can input A-Z / ก-ฮ</t>
  </si>
  <si>
    <t>ON_QR_CUS_28</t>
  </si>
  <si>
    <t>Verify field 'นามสกุล' on รายละเอียดเอกสารยืนยันตัวตน screen In case
 - Input ก-ฮ / A-Z</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</si>
  <si>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Fill information field 'นามสกุล'</t>
  </si>
  <si>
    <t>Display placeholder text is นามสกุล
Can input A-Z / ก-ฮ</t>
  </si>
  <si>
    <t>ON_QR_CUS_29</t>
  </si>
  <si>
    <t xml:space="preserve">Verify field 'วัน เดือน ปี เกิด' on รายละเอียดเอกสารยืนยันตัวตน screen In case
 - Pick date from calendars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</si>
  <si>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Pick Date in field 'วัน เดือน ปี เกิด'</t>
  </si>
  <si>
    <t>Display placeholder text is วัน เดือน ปี เกิด
Can pick date from calendars</t>
  </si>
  <si>
    <t>ON_QR_CUS_30</t>
  </si>
  <si>
    <t xml:space="preserve">Verify field 'วันหมดอายุ' on รายละเอียดเอกสารยืนยันตัวตน screen In case
 - Pick date from calendars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</si>
  <si>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Pick Date in field 'วันหมดอายุ'</t>
  </si>
  <si>
    <t>Display placeholder text is วันหมดอายุ
Can pick date from calendars</t>
  </si>
  <si>
    <t>ON_QR_CUS_31</t>
  </si>
  <si>
    <t>Verify field 'เลขที่บัตรที่ใช้ลงทะเบียน' on รายละเอียดเอกสารยืนยันตัวตน screen In case
 - Input or Copy and paste specail characters</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</si>
  <si>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Input or Copy information in field 'เลขที่บัตรที่ใช้ลงทะเบียน'
    - Input or Copy and paste specail characters</t>
  </si>
  <si>
    <t>Not Input or Copy and paste specail characters</t>
  </si>
  <si>
    <r>
      <rPr>
        <strike/>
        <sz val="10"/>
        <color rgb="FFFF0000"/>
        <rFont val="Tahoma"/>
      </rPr>
      <t xml:space="preserve">Input ID specail characters ไม่สามารถกรอกอักขระพิเศษที่แป้นพิมพ์ได้ หรือCopy แล้ววางอักขระพิเศษได้
Issue Uppass
https://trueomx.atlassian.net/browse/THL-573
</t>
    </r>
    <r>
      <rPr>
        <sz val="10"/>
        <color rgb="FFFF0000"/>
        <rFont val="Tahoma"/>
      </rPr>
      <t xml:space="preserve">
</t>
    </r>
    <r>
      <rPr>
        <sz val="10"/>
        <color rgb="FF000000"/>
        <rFont val="Tahoma"/>
      </rPr>
      <t>Update : ให้อิง Result ตามที่ Uppass ทำมา
- Android สามารถใส่ specail characters ได้
- IOS ไม่สามารถใส่ specail characters ได้</t>
    </r>
  </si>
  <si>
    <t>ON_QR_CUS_32</t>
  </si>
  <si>
    <t xml:space="preserve">Verify field 'ชื่อ' on รายละเอียดเอกสารยืนยันตัวตน screen In case
 - Input or Copy and paste specail characters
 - Input or Copy and paste number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</si>
  <si>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Input or Copy information in field 'ชื่อ'
    - Input or Copy and paste specail characters
    - Input or Copy and paste number</t>
  </si>
  <si>
    <t>1.Not input or Copy and paste specail characters
2.Not input or Copy and paste number</t>
  </si>
  <si>
    <r>
      <rPr>
        <strike/>
        <sz val="10"/>
        <color rgb="FFFF0000"/>
        <rFont val="Tahoma"/>
      </rPr>
      <t xml:space="preserve">Firstname - Lastname ที่ยังสามารถกรอก Special Character ได้อยู่เพราะจากการตรวจสอบแล้วพบว่า หลาย ๆ ประเทศมีโอกาสที่จะใช้ Special Character ในชื่อ - สกุลค่ะ
ดังนั้นส่วนนี้จึงต้องอนุญาตให้ใช้ Special character ได้
Issue Uppass
https://trueomx.atlassian.net/browse/THL-573
</t>
    </r>
    <r>
      <rPr>
        <sz val="10"/>
        <color rgb="FFFF0000"/>
        <rFont val="Tahoma"/>
      </rPr>
      <t xml:space="preserve">
</t>
    </r>
    <r>
      <rPr>
        <sz val="10"/>
        <color rgb="FF000000"/>
        <rFont val="Tahoma"/>
      </rPr>
      <t>Update : ให้อิง Result ตามที่ Uppass ทำมา
- Amdroid สามารถใส่ specail characters ได้
- IOS สามารถใส่ specail characters ได้</t>
    </r>
  </si>
  <si>
    <t>ON_QR_CUS_33</t>
  </si>
  <si>
    <t xml:space="preserve">Verify field 'นามสกุล' on รายละเอียดเอกสารยืนยันตัวตน screen In case
 - Input or Copy and paste specail characters
 - Input or Copy and paste number
    </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</si>
  <si>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Input or Copy information in field 'นามสกุล'
    - Input or Copy and paste specail characters
    - Input or Copy and paste number</t>
  </si>
  <si>
    <t>ON_QR_CUS_34</t>
  </si>
  <si>
    <t>Verify field 'เลขที่บัตรที่ใช้ลงทะเบียน' on รายละเอียดเอกสารยืนยันตัวตน screen In case
 -  Not input information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</si>
  <si>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Not fill information field 'เลขที่บัตรที่ใช้ลงทะเบียน'</t>
  </si>
  <si>
    <t xml:space="preserve">Display Popup Error Message “กรุณากรอกเลขที่บัตรที่ใช้ลงทะเบียน” </t>
  </si>
  <si>
    <t>Update : ให้อิง Result ตามที่ Uppass ทำมา
- Amdroid สามารถใส่ specail characters ได้
- IOS สามารถใส่ specail characters ได้</t>
  </si>
  <si>
    <t>ON_QR_CUS_35</t>
  </si>
  <si>
    <t>Verify field 'ชื่อ' on รายละเอียดเอกสารยืนยันตัวตน screen In case
 -  Not input information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</si>
  <si>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Not fill information field 'ชื่อ'</t>
  </si>
  <si>
    <t xml:space="preserve">Display Popup Error Message “กรุณากรอกชื่อ” </t>
  </si>
  <si>
    <t>ON_QR_CUS_36</t>
  </si>
  <si>
    <t>Verify field 'นามสกุล' on รายละเอียดเอกสารยืนยันตัวตน screen In case
 -  Not input information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</si>
  <si>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Not fill information field 'นามสกุล'</t>
  </si>
  <si>
    <t xml:space="preserve">Display Popup Error Message “กรุณากรอกนามสกุล” </t>
  </si>
  <si>
    <t>ON_QR_CUS_37</t>
  </si>
  <si>
    <t>Verify field 'วัน เดือน ปี เกิด' on รายละเอียดเอกสารยืนยันตัวตน screen In case
 -  Not input information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</si>
  <si>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Not fill information field 'วัน เดือน ปี เกิด'</t>
  </si>
  <si>
    <t xml:space="preserve">Display Popup Error Message “กรุณากรอกวันเดือนปีเกิด” </t>
  </si>
  <si>
    <t>ON_QR_CUS_38</t>
  </si>
  <si>
    <t>Verify field 'วันหมดอายุ' on รายละเอียดเอกสารยืนยันตัวตน screen In case
 -  Not input information</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</si>
  <si>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Call API tolGetTmhEligibility Pass
8. Verify Customer id for TMH (tmhCustomerPreverify and tmhPreverify) Pass if customer new TMH
9. OCR card and navigate to รายละเอียดเอกสารยืนยันตัวตน screen
10. Not fill information field 'วันหมดอายุ'</t>
  </si>
  <si>
    <t xml:space="preserve">Display Popup Error Message “กรุณากรอกวันหมดอายุ” </t>
  </si>
  <si>
    <t>ON_QR_CUS_39</t>
  </si>
  <si>
    <t>Verify OCR by customer in case
 - กรอกข้อมูล Customer ID (ONLINE CH: Customer Verification)  : บัตรประชาชน 1XXXXXXXXXXXX
 - OCR (หลังจาก Scan QR Code) : ใช้ข้อมูลบัตรที่ไม่ตรงกับข้อมูลที่กรอกในหน้า Customer Verification</t>
  </si>
  <si>
    <r>
      <rPr>
        <sz val="10"/>
        <color rgb="FF000000"/>
        <rFont val="Tahoma"/>
      </rPr>
      <t xml:space="preserve">1.ไม่สามารถทำรายการต่อได้
2.Display popup error message xxx
</t>
    </r>
    <r>
      <rPr>
        <sz val="10"/>
        <color rgb="FFFF0000"/>
        <rFont val="Tahoma"/>
      </rPr>
      <t>refer figma : https://www.figma.com/design/yjyoAP0EMDXJST790SY49T/ONE006-ONE-APP---TOL?node-id=2687-174759&amp;t=xrLjOIvFMi9fVDGA-4</t>
    </r>
  </si>
  <si>
    <t>ON_QR_CUS_40</t>
  </si>
  <si>
    <t>Verify OCR by customer in case
 - กรอกข้อมูล Customer ID (ONLINE CH: Customer Verification)  : กรอกข้อมูล พาสปอร์ต ADXXXXXXXX
 - OCR (หลังจาก Scan QR Code) : ใช้ข้อมูลบัตรที่ไม่ตรงกับข้อมูลที่กรอกในหน้า Customer Verification</t>
  </si>
  <si>
    <t>ON_QR_CUS_41</t>
  </si>
  <si>
    <t>Verify OCR by customer in case
 - กรอกข้อมูล Customer ID (ONLINE CH: Customer Verification)  : 
    -- เลือกบัตรอื่นๆ 
    -- กรอกข้อมูลบัตร XXXXXXX
 - OCR (หลังจาก Scan QR Code) : ใช้ข้อมูลบัตรที่ไม่ตรงกับข้อมูลที่กรอกในหน้า Customer Verification</t>
  </si>
  <si>
    <t>Remark</t>
  </si>
  <si>
    <t xml:space="preserve"> Error ในหน้า Result of ID Verification &amp; Liveness เกิดจากสาเหตุอะไรบ้างหรือค่ะ</t>
  </si>
  <si>
    <t>Summary</t>
  </si>
  <si>
    <t>Not Start</t>
  </si>
  <si>
    <t>Inprogress</t>
  </si>
  <si>
    <t>Block</t>
  </si>
  <si>
    <t>Fail</t>
  </si>
  <si>
    <t>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</si>
</sst>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0"/>
      <color theme="1"/>
      <name val="Tahoma"/>
    </font>
    <font>
      <b/>
      <sz val="10"/>
      <color rgb="FF000000"/>
      <name val="Tahoma"/>
    </font>
    <font>
      <sz val="10"/>
      <color rgb="FF000000"/>
      <name val="Tahoma"/>
    </font>
    <font>
      <sz val="10"/>
      <name val="Tahoma"/>
    </font>
    <font>
      <b/>
      <sz val="10"/>
      <color theme="1"/>
      <name val="Tahoma"/>
    </font>
    <font>
      <u/>
      <sz val="10"/>
      <color rgb="FF0000FF"/>
      <name val="Tahoma"/>
    </font>
    <font>
      <sz val="10"/>
      <color rgb="FFFF0000"/>
      <name val="Tahoma"/>
    </font>
    <font>
      <b/>
      <sz val="10"/>
      <name val="Tahoma"/>
    </font>
    <font>
      <b/>
      <sz val="10"/>
      <color rgb="FFFF0000"/>
      <name val="Tahoma"/>
    </font>
    <font>
      <u/>
      <sz val="10"/>
      <color theme="10"/>
      <name val="Arial"/>
      <scheme val="minor"/>
    </font>
    <font>
      <sz val="10"/>
      <color rgb="FF1155CC"/>
      <name val="Arial"/>
      <scheme val="minor"/>
    </font>
    <font>
      <b/>
      <sz val="10"/>
      <color rgb="FF0070C0"/>
      <name val="Tahoma"/>
    </font>
    <font>
      <u/>
      <sz val="11"/>
      <color theme="10"/>
      <name val="Arial"/>
      <scheme val="minor"/>
    </font>
    <font>
      <sz val="10"/>
      <color rgb="FF000000"/>
      <name val="Tahoma"/>
      <family val="2"/>
    </font>
    <font>
      <strike/>
      <sz val="10"/>
      <color rgb="FFFF0000"/>
      <name val="Tahoma"/>
    </font>
    <font>
      <sz val="10"/>
      <color rgb="FF000000"/>
      <name val="Tahoma"/>
      <charset val="1"/>
    </font>
  </fonts>
  <fills count="23">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D9EAD3"/>
        <bgColor rgb="FFD9EAD3"/>
      </patternFill>
    </fill>
    <fill>
      <patternFill patternType="solid">
        <fgColor rgb="FFF9CB9C"/>
        <bgColor rgb="FFF9CB9C"/>
      </patternFill>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
      <patternFill patternType="solid">
        <fgColor theme="0"/>
        <bgColor theme="0"/>
      </patternFill>
    </fill>
    <fill>
      <patternFill patternType="solid">
        <fgColor rgb="FF339966"/>
        <bgColor rgb="FF339966"/>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theme="0"/>
      </patternFill>
    </fill>
    <fill>
      <patternFill patternType="solid">
        <fgColor theme="5" tint="0.79998168889431442"/>
        <bgColor theme="0"/>
      </patternFill>
    </fill>
    <fill>
      <patternFill patternType="solid">
        <fgColor rgb="FFFFC000"/>
        <bgColor indexed="64"/>
      </patternFill>
    </fill>
  </fills>
  <borders count="3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194">
    <xf numFmtId="0" fontId="0" fillId="0" borderId="0" xfId="0"/>
    <xf numFmtId="0" fontId="2" fillId="8" borderId="5" xfId="0" applyFont="1" applyFill="1" applyBorder="1" applyAlignment="1">
      <alignment horizontal="center"/>
    </xf>
    <xf numFmtId="0" fontId="3" fillId="0" borderId="0" xfId="0" applyFont="1"/>
    <xf numFmtId="0" fontId="2" fillId="0" borderId="0" xfId="0" applyFont="1" applyAlignment="1">
      <alignment horizontal="center"/>
    </xf>
    <xf numFmtId="0" fontId="2" fillId="0" borderId="11" xfId="0" applyFont="1" applyBorder="1" applyAlignment="1">
      <alignment horizontal="center"/>
    </xf>
    <xf numFmtId="0" fontId="2" fillId="0" borderId="12" xfId="0" applyFont="1" applyBorder="1" applyAlignment="1">
      <alignment horizontal="right"/>
    </xf>
    <xf numFmtId="0" fontId="3" fillId="0" borderId="0" xfId="0" applyFont="1" applyAlignment="1">
      <alignment horizontal="center"/>
    </xf>
    <xf numFmtId="10" fontId="3" fillId="0" borderId="9" xfId="0" applyNumberFormat="1" applyFont="1" applyBorder="1" applyAlignment="1">
      <alignment horizontal="center"/>
    </xf>
    <xf numFmtId="0" fontId="1" fillId="0" borderId="0" xfId="0" applyFont="1" applyAlignment="1">
      <alignment horizontal="center" vertical="center"/>
    </xf>
    <xf numFmtId="0" fontId="1" fillId="0" borderId="3" xfId="0" applyFont="1" applyBorder="1" applyAlignment="1">
      <alignment horizontal="center" vertical="top"/>
    </xf>
    <xf numFmtId="0" fontId="1" fillId="9" borderId="3" xfId="0" applyFont="1" applyFill="1" applyBorder="1" applyAlignment="1">
      <alignment vertical="top" wrapText="1"/>
    </xf>
    <xf numFmtId="0" fontId="1" fillId="0" borderId="0" xfId="0" applyFont="1" applyAlignment="1">
      <alignment vertical="top"/>
    </xf>
    <xf numFmtId="0" fontId="1" fillId="6" borderId="3" xfId="0" applyFont="1" applyFill="1" applyBorder="1" applyAlignment="1">
      <alignment horizontal="center" vertical="top"/>
    </xf>
    <xf numFmtId="0" fontId="1" fillId="6" borderId="5" xfId="0" applyFont="1" applyFill="1" applyBorder="1" applyAlignment="1">
      <alignment vertical="top"/>
    </xf>
    <xf numFmtId="0" fontId="1" fillId="6" borderId="3" xfId="0" applyFont="1" applyFill="1" applyBorder="1" applyAlignment="1">
      <alignment vertical="top" wrapText="1"/>
    </xf>
    <xf numFmtId="0" fontId="1" fillId="0" borderId="0" xfId="0" applyFont="1" applyAlignment="1">
      <alignment horizontal="center"/>
    </xf>
    <xf numFmtId="0" fontId="1" fillId="0" borderId="7" xfId="0" applyFont="1" applyBorder="1" applyAlignment="1">
      <alignment horizontal="center" vertical="top" wrapText="1"/>
    </xf>
    <xf numFmtId="0" fontId="1" fillId="0" borderId="10" xfId="0" applyFont="1" applyBorder="1" applyAlignment="1">
      <alignment vertical="top" wrapText="1"/>
    </xf>
    <xf numFmtId="0" fontId="6" fillId="0" borderId="3" xfId="0" applyFont="1" applyBorder="1" applyAlignment="1">
      <alignment vertical="top" wrapText="1"/>
    </xf>
    <xf numFmtId="0" fontId="1" fillId="0" borderId="3" xfId="0" applyFont="1" applyBorder="1" applyAlignment="1">
      <alignment vertical="top" wrapText="1"/>
    </xf>
    <xf numFmtId="0" fontId="1" fillId="6" borderId="3" xfId="0" applyFont="1" applyFill="1" applyBorder="1" applyAlignment="1">
      <alignment horizontal="center" vertical="top" wrapText="1"/>
    </xf>
    <xf numFmtId="0" fontId="1" fillId="7" borderId="3" xfId="0" applyFont="1" applyFill="1" applyBorder="1" applyAlignment="1">
      <alignment horizontal="center" vertical="top" wrapText="1"/>
    </xf>
    <xf numFmtId="0" fontId="1" fillId="6" borderId="7" xfId="0" applyFont="1" applyFill="1" applyBorder="1" applyAlignment="1">
      <alignment horizontal="center" vertical="top" wrapText="1"/>
    </xf>
    <xf numFmtId="0" fontId="1" fillId="6" borderId="10" xfId="0" applyFont="1" applyFill="1" applyBorder="1" applyAlignment="1">
      <alignment vertical="top" wrapText="1"/>
    </xf>
    <xf numFmtId="0" fontId="5" fillId="4" borderId="3" xfId="0" applyFont="1" applyFill="1" applyBorder="1" applyAlignment="1">
      <alignment horizontal="center" vertical="center" wrapText="1"/>
    </xf>
    <xf numFmtId="0" fontId="3" fillId="0" borderId="5" xfId="0" applyFont="1" applyBorder="1"/>
    <xf numFmtId="0" fontId="1" fillId="12" borderId="3" xfId="0" applyFont="1" applyFill="1" applyBorder="1" applyAlignment="1">
      <alignment horizontal="center" vertical="top" wrapText="1"/>
    </xf>
    <xf numFmtId="0" fontId="1" fillId="0" borderId="0" xfId="0" applyFont="1" applyAlignment="1">
      <alignment horizontal="left"/>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1" fillId="0" borderId="10" xfId="0" applyFont="1" applyBorder="1" applyAlignment="1">
      <alignment horizontal="center" vertical="top"/>
    </xf>
    <xf numFmtId="0" fontId="1" fillId="0" borderId="6" xfId="0" applyFont="1" applyBorder="1" applyAlignment="1">
      <alignment vertical="top" wrapText="1"/>
    </xf>
    <xf numFmtId="0" fontId="1" fillId="0" borderId="1" xfId="0" applyFont="1" applyBorder="1" applyAlignment="1">
      <alignment vertical="top" wrapText="1"/>
    </xf>
    <xf numFmtId="0" fontId="3" fillId="0" borderId="3" xfId="0" quotePrefix="1" applyFont="1" applyBorder="1" applyAlignment="1">
      <alignment vertical="top" wrapText="1"/>
    </xf>
    <xf numFmtId="0" fontId="3" fillId="6" borderId="3" xfId="0" quotePrefix="1" applyFont="1" applyFill="1" applyBorder="1" applyAlignment="1">
      <alignment vertical="top" wrapText="1"/>
    </xf>
    <xf numFmtId="0" fontId="3" fillId="6" borderId="3" xfId="0" applyFont="1" applyFill="1" applyBorder="1" applyAlignment="1">
      <alignment vertical="top" wrapText="1"/>
    </xf>
    <xf numFmtId="0" fontId="2" fillId="8" borderId="0" xfId="0" applyFont="1" applyFill="1" applyAlignment="1">
      <alignment horizontal="right"/>
    </xf>
    <xf numFmtId="0" fontId="3" fillId="0" borderId="0" xfId="0" applyFont="1" applyAlignment="1">
      <alignment horizontal="right"/>
    </xf>
    <xf numFmtId="0" fontId="5" fillId="3" borderId="3" xfId="0" applyFont="1" applyFill="1" applyBorder="1" applyAlignment="1">
      <alignment horizontal="center" vertical="center" textRotation="90" wrapText="1"/>
    </xf>
    <xf numFmtId="0" fontId="1" fillId="12" borderId="17" xfId="0" applyFont="1" applyFill="1" applyBorder="1" applyAlignment="1">
      <alignment horizontal="center" vertical="top" wrapText="1"/>
    </xf>
    <xf numFmtId="0" fontId="1" fillId="12" borderId="18" xfId="0" applyFont="1" applyFill="1" applyBorder="1" applyAlignment="1">
      <alignment horizontal="center" vertical="top" wrapText="1"/>
    </xf>
    <xf numFmtId="0" fontId="1" fillId="12" borderId="10" xfId="0" applyFont="1" applyFill="1" applyBorder="1" applyAlignment="1">
      <alignment horizontal="center" vertical="top" wrapText="1"/>
    </xf>
    <xf numFmtId="0" fontId="5" fillId="5" borderId="24" xfId="0" applyFont="1" applyFill="1" applyBorder="1" applyAlignment="1">
      <alignment horizontal="center" vertical="center" textRotation="90" wrapText="1"/>
    </xf>
    <xf numFmtId="0" fontId="5" fillId="5" borderId="20" xfId="0" applyFont="1" applyFill="1" applyBorder="1" applyAlignment="1">
      <alignment horizontal="center" vertical="center" textRotation="90" wrapText="1"/>
    </xf>
    <xf numFmtId="0" fontId="5" fillId="4" borderId="7" xfId="0" applyFont="1" applyFill="1" applyBorder="1" applyAlignment="1">
      <alignment horizontal="center" vertical="center" wrapText="1"/>
    </xf>
    <xf numFmtId="0" fontId="5" fillId="13" borderId="26" xfId="0" applyFont="1" applyFill="1" applyBorder="1" applyAlignment="1">
      <alignment horizontal="center" vertical="center" textRotation="90" wrapText="1"/>
    </xf>
    <xf numFmtId="0" fontId="5" fillId="13" borderId="25" xfId="0" applyFont="1" applyFill="1" applyBorder="1" applyAlignment="1">
      <alignment horizontal="center" vertical="center" textRotation="90" wrapText="1"/>
    </xf>
    <xf numFmtId="0" fontId="1" fillId="6" borderId="17" xfId="0" applyFont="1" applyFill="1" applyBorder="1" applyAlignment="1">
      <alignment horizontal="center" vertical="top" wrapText="1"/>
    </xf>
    <xf numFmtId="0" fontId="5" fillId="15" borderId="24" xfId="0" applyFont="1" applyFill="1" applyBorder="1" applyAlignment="1">
      <alignment horizontal="center" vertical="center" textRotation="90" wrapText="1"/>
    </xf>
    <xf numFmtId="0" fontId="5" fillId="15" borderId="20" xfId="0" applyFont="1" applyFill="1" applyBorder="1" applyAlignment="1">
      <alignment horizontal="center" vertical="center" textRotation="90" wrapText="1"/>
    </xf>
    <xf numFmtId="0" fontId="1" fillId="0" borderId="29" xfId="0" applyFont="1" applyBorder="1" applyAlignment="1">
      <alignment horizontal="center" vertical="top" wrapText="1"/>
    </xf>
    <xf numFmtId="0" fontId="7" fillId="0" borderId="29" xfId="0" applyFont="1" applyBorder="1" applyAlignment="1">
      <alignment horizontal="center" vertical="top" wrapText="1"/>
    </xf>
    <xf numFmtId="0" fontId="1" fillId="6" borderId="29" xfId="0" applyFont="1" applyFill="1" applyBorder="1" applyAlignment="1">
      <alignment horizontal="center" vertical="top" wrapText="1"/>
    </xf>
    <xf numFmtId="0" fontId="7" fillId="6" borderId="29" xfId="0" applyFont="1" applyFill="1" applyBorder="1" applyAlignment="1">
      <alignment horizontal="center" vertical="top" wrapText="1"/>
    </xf>
    <xf numFmtId="0" fontId="1" fillId="0" borderId="5" xfId="0" applyFont="1" applyBorder="1" applyAlignment="1">
      <alignment horizontal="center"/>
    </xf>
    <xf numFmtId="0" fontId="1" fillId="16" borderId="3" xfId="0" applyFont="1" applyFill="1" applyBorder="1" applyAlignment="1">
      <alignment horizontal="center" vertical="top" wrapText="1"/>
    </xf>
    <xf numFmtId="0" fontId="1" fillId="16" borderId="7" xfId="0" applyFont="1" applyFill="1" applyBorder="1" applyAlignment="1">
      <alignment horizontal="center" vertical="top" wrapText="1"/>
    </xf>
    <xf numFmtId="0" fontId="1" fillId="16" borderId="27" xfId="0" applyFont="1" applyFill="1" applyBorder="1" applyAlignment="1">
      <alignment horizontal="center" vertical="top" wrapText="1"/>
    </xf>
    <xf numFmtId="0" fontId="1" fillId="16" borderId="4" xfId="0" applyFont="1" applyFill="1" applyBorder="1" applyAlignment="1">
      <alignment horizontal="center" vertical="top" wrapText="1"/>
    </xf>
    <xf numFmtId="0" fontId="1" fillId="16" borderId="8" xfId="0" applyFont="1" applyFill="1" applyBorder="1" applyAlignment="1">
      <alignment horizontal="center" vertical="top" wrapText="1"/>
    </xf>
    <xf numFmtId="0" fontId="1" fillId="16" borderId="28" xfId="0" applyFont="1" applyFill="1" applyBorder="1" applyAlignment="1">
      <alignment horizontal="center" vertical="top" wrapText="1"/>
    </xf>
    <xf numFmtId="0" fontId="1" fillId="16" borderId="9" xfId="0" applyFont="1" applyFill="1" applyBorder="1" applyAlignment="1">
      <alignment horizontal="center" vertical="top" wrapText="1"/>
    </xf>
    <xf numFmtId="0" fontId="1" fillId="16" borderId="17" xfId="0" applyFont="1" applyFill="1" applyBorder="1" applyAlignment="1">
      <alignment horizontal="center" vertical="top" wrapText="1"/>
    </xf>
    <xf numFmtId="0" fontId="1" fillId="16" borderId="18" xfId="0" applyFont="1" applyFill="1" applyBorder="1" applyAlignment="1">
      <alignment horizontal="center" vertical="top" wrapText="1"/>
    </xf>
    <xf numFmtId="0" fontId="1" fillId="16" borderId="10" xfId="0" applyFont="1" applyFill="1" applyBorder="1" applyAlignment="1">
      <alignment horizontal="center" vertical="top" wrapText="1"/>
    </xf>
    <xf numFmtId="0" fontId="1" fillId="6" borderId="29" xfId="0" applyFont="1" applyFill="1" applyBorder="1" applyAlignment="1">
      <alignment vertical="top" wrapText="1"/>
    </xf>
    <xf numFmtId="0" fontId="1" fillId="0" borderId="29" xfId="0" applyFont="1" applyBorder="1" applyAlignment="1">
      <alignment vertical="top" wrapText="1"/>
    </xf>
    <xf numFmtId="0" fontId="1" fillId="6" borderId="1" xfId="0" applyFont="1" applyFill="1" applyBorder="1" applyAlignment="1">
      <alignment vertical="top" wrapText="1"/>
    </xf>
    <xf numFmtId="0" fontId="1" fillId="0" borderId="7" xfId="0" applyFont="1" applyBorder="1" applyAlignment="1">
      <alignment horizontal="center" vertical="top"/>
    </xf>
    <xf numFmtId="0" fontId="1" fillId="9" borderId="4" xfId="0" applyFont="1" applyFill="1" applyBorder="1" applyAlignment="1">
      <alignment vertical="top" wrapText="1"/>
    </xf>
    <xf numFmtId="0" fontId="1" fillId="0" borderId="3" xfId="0" applyFont="1" applyBorder="1" applyAlignment="1">
      <alignment horizontal="center" vertical="top" wrapText="1"/>
    </xf>
    <xf numFmtId="0" fontId="7" fillId="0" borderId="3" xfId="0" applyFont="1" applyBorder="1" applyAlignment="1">
      <alignment horizontal="center" vertical="top" wrapText="1"/>
    </xf>
    <xf numFmtId="0" fontId="1" fillId="0" borderId="2" xfId="0" applyFont="1" applyBorder="1" applyAlignment="1">
      <alignment horizontal="center" vertical="top" wrapText="1"/>
    </xf>
    <xf numFmtId="0" fontId="1" fillId="0" borderId="1" xfId="0" applyFont="1" applyBorder="1" applyAlignment="1">
      <alignment horizontal="center" vertical="top"/>
    </xf>
    <xf numFmtId="0" fontId="1" fillId="9" borderId="1" xfId="0" applyFont="1" applyFill="1" applyBorder="1" applyAlignment="1">
      <alignment vertical="top" wrapText="1"/>
    </xf>
    <xf numFmtId="0" fontId="7" fillId="0" borderId="30" xfId="0" applyFont="1" applyBorder="1" applyAlignment="1">
      <alignment horizontal="center" vertical="top" wrapText="1"/>
    </xf>
    <xf numFmtId="0" fontId="1" fillId="16" borderId="1" xfId="0" applyFont="1" applyFill="1" applyBorder="1" applyAlignment="1">
      <alignment horizontal="center" vertical="top" wrapText="1"/>
    </xf>
    <xf numFmtId="0" fontId="1" fillId="16" borderId="2" xfId="0" applyFont="1" applyFill="1" applyBorder="1" applyAlignment="1">
      <alignment horizontal="center" vertical="top" wrapText="1"/>
    </xf>
    <xf numFmtId="0" fontId="1" fillId="16" borderId="31" xfId="0" applyFont="1" applyFill="1" applyBorder="1" applyAlignment="1">
      <alignment horizontal="center" vertical="top" wrapText="1"/>
    </xf>
    <xf numFmtId="0" fontId="1" fillId="16" borderId="32" xfId="0" applyFont="1" applyFill="1" applyBorder="1" applyAlignment="1">
      <alignment horizontal="center" vertical="top" wrapText="1"/>
    </xf>
    <xf numFmtId="0" fontId="1" fillId="16" borderId="6" xfId="0" applyFont="1" applyFill="1" applyBorder="1" applyAlignment="1">
      <alignment horizontal="center" vertical="top" wrapText="1"/>
    </xf>
    <xf numFmtId="0" fontId="3" fillId="0" borderId="9" xfId="0" applyFont="1" applyBorder="1" applyAlignment="1">
      <alignment horizontal="center" vertical="center"/>
    </xf>
    <xf numFmtId="0" fontId="3" fillId="10" borderId="9" xfId="0" applyFont="1" applyFill="1" applyBorder="1" applyAlignment="1">
      <alignment horizontal="center" vertical="center"/>
    </xf>
    <xf numFmtId="0" fontId="3" fillId="0" borderId="3" xfId="0" applyFont="1" applyBorder="1" applyAlignment="1">
      <alignment horizontal="center" vertical="center"/>
    </xf>
    <xf numFmtId="0" fontId="2" fillId="0" borderId="5" xfId="0" applyFont="1" applyBorder="1" applyAlignment="1">
      <alignment horizontal="right"/>
    </xf>
    <xf numFmtId="0" fontId="2" fillId="0" borderId="5" xfId="0" applyFont="1" applyBorder="1" applyAlignment="1">
      <alignment horizontal="center"/>
    </xf>
    <xf numFmtId="0" fontId="1" fillId="17" borderId="4" xfId="0" applyFont="1" applyFill="1" applyBorder="1" applyAlignment="1">
      <alignment horizontal="center" vertical="top" wrapText="1"/>
    </xf>
    <xf numFmtId="0" fontId="8" fillId="18" borderId="1" xfId="0" applyFont="1" applyFill="1" applyBorder="1" applyAlignment="1">
      <alignment horizontal="center" vertical="center"/>
    </xf>
    <xf numFmtId="0" fontId="1" fillId="0" borderId="8" xfId="0" applyFont="1" applyBorder="1" applyAlignment="1">
      <alignment horizontal="center" vertical="top" wrapText="1"/>
    </xf>
    <xf numFmtId="0" fontId="10" fillId="0" borderId="3" xfId="1" applyBorder="1" applyAlignment="1">
      <alignment horizontal="center" vertical="top"/>
    </xf>
    <xf numFmtId="0" fontId="9" fillId="0" borderId="5" xfId="0" applyFont="1" applyBorder="1" applyAlignment="1">
      <alignment vertical="top" wrapText="1"/>
    </xf>
    <xf numFmtId="0" fontId="1" fillId="19" borderId="3" xfId="0" applyFont="1" applyFill="1" applyBorder="1" applyAlignment="1">
      <alignment vertical="top" wrapText="1"/>
    </xf>
    <xf numFmtId="0" fontId="3" fillId="0" borderId="3" xfId="0" applyFont="1" applyBorder="1" applyAlignment="1">
      <alignment vertical="top" wrapText="1"/>
    </xf>
    <xf numFmtId="0" fontId="0" fillId="0" borderId="5" xfId="0" applyBorder="1" applyAlignment="1">
      <alignment vertical="top" wrapText="1"/>
    </xf>
    <xf numFmtId="0" fontId="3" fillId="0" borderId="10" xfId="0" applyFont="1" applyBorder="1" applyAlignment="1">
      <alignment vertical="top" wrapText="1"/>
    </xf>
    <xf numFmtId="0" fontId="1" fillId="0" borderId="3" xfId="0" applyFont="1" applyBorder="1" applyAlignment="1">
      <alignment horizontal="left" vertical="top" wrapText="1"/>
    </xf>
    <xf numFmtId="0" fontId="10" fillId="0" borderId="1" xfId="1" applyBorder="1" applyAlignment="1">
      <alignment horizontal="center" vertical="top"/>
    </xf>
    <xf numFmtId="0" fontId="1" fillId="0" borderId="11" xfId="0" applyFont="1" applyBorder="1" applyAlignment="1">
      <alignment horizontal="left" vertical="top" wrapText="1"/>
    </xf>
    <xf numFmtId="0" fontId="1" fillId="0" borderId="29" xfId="0" applyFont="1" applyBorder="1" applyAlignment="1">
      <alignment horizontal="left" vertical="top" wrapText="1"/>
    </xf>
    <xf numFmtId="0" fontId="1" fillId="0" borderId="14" xfId="0" applyFont="1" applyBorder="1" applyAlignment="1">
      <alignment horizontal="center" vertical="top" wrapText="1"/>
    </xf>
    <xf numFmtId="0" fontId="13" fillId="0" borderId="3" xfId="1" applyFont="1" applyBorder="1" applyAlignment="1">
      <alignment horizontal="center" vertical="top"/>
    </xf>
    <xf numFmtId="0" fontId="13" fillId="0" borderId="1" xfId="1" applyFont="1" applyBorder="1" applyAlignment="1">
      <alignment horizontal="center" vertical="top"/>
    </xf>
    <xf numFmtId="0" fontId="0" fillId="0" borderId="33" xfId="0" applyBorder="1" applyAlignment="1">
      <alignment horizontal="center" vertical="top"/>
    </xf>
    <xf numFmtId="0" fontId="14" fillId="0" borderId="33" xfId="0" applyFont="1" applyBorder="1" applyAlignment="1">
      <alignment horizontal="left" vertical="top" wrapText="1"/>
    </xf>
    <xf numFmtId="0" fontId="1" fillId="11" borderId="3" xfId="0" applyFont="1" applyFill="1" applyBorder="1" applyAlignment="1">
      <alignment horizontal="center" vertical="top"/>
    </xf>
    <xf numFmtId="0" fontId="1" fillId="20" borderId="3" xfId="0" applyFont="1" applyFill="1" applyBorder="1" applyAlignment="1">
      <alignment vertical="top" wrapText="1"/>
    </xf>
    <xf numFmtId="0" fontId="1" fillId="11" borderId="29" xfId="0" applyFont="1" applyFill="1" applyBorder="1" applyAlignment="1">
      <alignment horizontal="center" vertical="top" wrapText="1"/>
    </xf>
    <xf numFmtId="0" fontId="1" fillId="11" borderId="3" xfId="0" applyFont="1" applyFill="1" applyBorder="1" applyAlignment="1">
      <alignment vertical="top" wrapText="1"/>
    </xf>
    <xf numFmtId="0" fontId="7" fillId="11" borderId="29" xfId="0" applyFont="1" applyFill="1" applyBorder="1" applyAlignment="1">
      <alignment horizontal="center" vertical="top" wrapText="1"/>
    </xf>
    <xf numFmtId="0" fontId="1" fillId="19" borderId="3" xfId="0" applyFont="1" applyFill="1" applyBorder="1" applyAlignment="1">
      <alignment horizontal="center" vertical="top"/>
    </xf>
    <xf numFmtId="0" fontId="1" fillId="21" borderId="3" xfId="0" applyFont="1" applyFill="1" applyBorder="1" applyAlignment="1">
      <alignment vertical="top" wrapText="1"/>
    </xf>
    <xf numFmtId="0" fontId="1" fillId="19" borderId="29" xfId="0" applyFont="1" applyFill="1" applyBorder="1" applyAlignment="1">
      <alignment horizontal="center" vertical="top" wrapText="1"/>
    </xf>
    <xf numFmtId="0" fontId="10" fillId="0" borderId="13" xfId="1" applyBorder="1" applyAlignment="1">
      <alignment horizontal="center" vertical="top"/>
    </xf>
    <xf numFmtId="0" fontId="7" fillId="0" borderId="3" xfId="0" applyFont="1" applyBorder="1" applyAlignment="1">
      <alignment vertical="top" wrapText="1"/>
    </xf>
    <xf numFmtId="0" fontId="1" fillId="6" borderId="10" xfId="0" applyFont="1" applyFill="1" applyBorder="1" applyAlignment="1">
      <alignment horizontal="center" vertical="top" wrapText="1"/>
    </xf>
    <xf numFmtId="0" fontId="0" fillId="0" borderId="3" xfId="0" applyBorder="1" applyAlignment="1">
      <alignment horizontal="center" vertical="center" wrapText="1"/>
    </xf>
    <xf numFmtId="0" fontId="10" fillId="0" borderId="2" xfId="1" applyBorder="1" applyAlignment="1">
      <alignment horizontal="center" vertical="center"/>
    </xf>
    <xf numFmtId="0" fontId="10" fillId="0" borderId="7" xfId="1" applyBorder="1" applyAlignment="1">
      <alignment horizontal="center" vertical="center"/>
    </xf>
    <xf numFmtId="0" fontId="0" fillId="0" borderId="4" xfId="0" applyBorder="1" applyAlignment="1">
      <alignment horizontal="center" vertical="center" wrapText="1"/>
    </xf>
    <xf numFmtId="0" fontId="10" fillId="0" borderId="8" xfId="1" applyBorder="1" applyAlignment="1">
      <alignment horizontal="center" vertical="center"/>
    </xf>
    <xf numFmtId="0" fontId="1" fillId="0" borderId="13" xfId="0" applyFont="1" applyBorder="1" applyAlignment="1">
      <alignment horizontal="center" vertical="top" wrapText="1"/>
    </xf>
    <xf numFmtId="0" fontId="10" fillId="0" borderId="34" xfId="1" applyBorder="1" applyAlignment="1">
      <alignment horizontal="center" vertical="top"/>
    </xf>
    <xf numFmtId="0" fontId="3" fillId="0" borderId="10" xfId="0" applyFont="1" applyBorder="1" applyAlignment="1">
      <alignment horizontal="left" vertical="top" wrapText="1"/>
    </xf>
    <xf numFmtId="0" fontId="1" fillId="0" borderId="30" xfId="0" applyFont="1" applyBorder="1" applyAlignment="1">
      <alignment vertical="top" wrapText="1"/>
    </xf>
    <xf numFmtId="0" fontId="10" fillId="0" borderId="0" xfId="1" applyAlignment="1">
      <alignment horizontal="center" vertical="center"/>
    </xf>
    <xf numFmtId="0" fontId="5" fillId="2" borderId="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18" borderId="2" xfId="0" applyFont="1" applyFill="1" applyBorder="1" applyAlignment="1">
      <alignment horizontal="center" vertical="center" wrapText="1"/>
    </xf>
    <xf numFmtId="0" fontId="5" fillId="18" borderId="6" xfId="0" applyFont="1" applyFill="1" applyBorder="1" applyAlignment="1">
      <alignment horizontal="center" vertical="center" wrapText="1"/>
    </xf>
    <xf numFmtId="0" fontId="5" fillId="18" borderId="8" xfId="0" applyFont="1" applyFill="1" applyBorder="1" applyAlignment="1">
      <alignment horizontal="center" vertical="center" wrapText="1"/>
    </xf>
    <xf numFmtId="0" fontId="5" fillId="18" borderId="9"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3" xfId="0" applyFont="1" applyFill="1" applyBorder="1" applyAlignment="1">
      <alignment horizontal="center" vertical="center"/>
    </xf>
    <xf numFmtId="0" fontId="5" fillId="14" borderId="1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14" borderId="17" xfId="0" applyFont="1" applyFill="1" applyBorder="1" applyAlignment="1">
      <alignment horizontal="center" vertical="center" textRotation="90" wrapText="1"/>
    </xf>
    <xf numFmtId="0" fontId="5" fillId="14" borderId="19" xfId="0" applyFont="1" applyFill="1" applyBorder="1" applyAlignment="1">
      <alignment horizontal="center" vertical="center" textRotation="90" wrapText="1"/>
    </xf>
    <xf numFmtId="0" fontId="5" fillId="14" borderId="3" xfId="0" applyFont="1" applyFill="1" applyBorder="1" applyAlignment="1">
      <alignment horizontal="center" vertical="center" textRotation="90" wrapText="1"/>
    </xf>
    <xf numFmtId="0" fontId="5" fillId="14" borderId="24" xfId="0" applyFont="1" applyFill="1" applyBorder="1" applyAlignment="1">
      <alignment horizontal="center" vertical="center" textRotation="90" wrapText="1"/>
    </xf>
    <xf numFmtId="0" fontId="8" fillId="14" borderId="3" xfId="0" applyFont="1" applyFill="1" applyBorder="1" applyAlignment="1">
      <alignment horizontal="center" vertical="center"/>
    </xf>
    <xf numFmtId="0" fontId="8" fillId="14" borderId="18" xfId="0" applyFont="1" applyFill="1" applyBorder="1" applyAlignment="1">
      <alignment horizontal="center" vertical="center"/>
    </xf>
    <xf numFmtId="0" fontId="8" fillId="13" borderId="23" xfId="0" applyFont="1" applyFill="1" applyBorder="1" applyAlignment="1">
      <alignment horizontal="center" vertical="center" wrapText="1"/>
    </xf>
    <xf numFmtId="0" fontId="8" fillId="13" borderId="22"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8" fillId="13" borderId="7" xfId="0" applyFont="1" applyFill="1" applyBorder="1" applyAlignment="1">
      <alignment horizontal="center" vertical="center" wrapText="1"/>
    </xf>
    <xf numFmtId="0" fontId="5" fillId="11" borderId="17" xfId="0" applyFont="1" applyFill="1" applyBorder="1" applyAlignment="1">
      <alignment horizontal="center" vertical="center" wrapText="1"/>
    </xf>
    <xf numFmtId="0" fontId="5" fillId="11" borderId="19" xfId="0" applyFont="1" applyFill="1" applyBorder="1" applyAlignment="1">
      <alignment horizontal="center" vertical="center" wrapText="1"/>
    </xf>
    <xf numFmtId="0" fontId="5" fillId="11" borderId="3" xfId="0" applyFont="1" applyFill="1" applyBorder="1" applyAlignment="1">
      <alignment horizontal="center" vertical="center" textRotation="90" wrapText="1"/>
    </xf>
    <xf numFmtId="0" fontId="5" fillId="11" borderId="24" xfId="0" applyFont="1" applyFill="1" applyBorder="1" applyAlignment="1">
      <alignment horizontal="center" vertical="center" textRotation="90" wrapText="1"/>
    </xf>
    <xf numFmtId="0" fontId="8" fillId="11" borderId="15" xfId="0" applyFont="1" applyFill="1" applyBorder="1" applyAlignment="1">
      <alignment horizontal="center" vertical="center"/>
    </xf>
    <xf numFmtId="0" fontId="8" fillId="11" borderId="21" xfId="0" applyFont="1" applyFill="1" applyBorder="1" applyAlignment="1">
      <alignment horizontal="center" vertical="center"/>
    </xf>
    <xf numFmtId="0" fontId="8" fillId="11" borderId="16" xfId="0" applyFont="1" applyFill="1" applyBorder="1" applyAlignment="1">
      <alignment horizontal="center" vertical="center"/>
    </xf>
    <xf numFmtId="0" fontId="8" fillId="11" borderId="3" xfId="0" applyFont="1" applyFill="1" applyBorder="1" applyAlignment="1">
      <alignment horizontal="center" vertical="center" wrapText="1"/>
    </xf>
    <xf numFmtId="0" fontId="8" fillId="11" borderId="18" xfId="0" applyFont="1" applyFill="1" applyBorder="1" applyAlignment="1">
      <alignment horizontal="center" vertical="center" wrapText="1"/>
    </xf>
    <xf numFmtId="0" fontId="1" fillId="0" borderId="3" xfId="0" quotePrefix="1" applyFont="1" applyBorder="1" applyAlignment="1">
      <alignment vertical="top" wrapText="1"/>
    </xf>
    <xf numFmtId="0" fontId="1" fillId="22" borderId="4" xfId="0" applyFont="1" applyFill="1" applyBorder="1" applyAlignment="1">
      <alignment horizontal="center" vertical="top" wrapText="1"/>
    </xf>
    <xf numFmtId="0" fontId="14" fillId="0" borderId="3" xfId="0" applyFont="1" applyBorder="1" applyAlignment="1">
      <alignment horizontal="left" vertical="top" wrapText="1"/>
    </xf>
    <xf numFmtId="0" fontId="3" fillId="0" borderId="6" xfId="1" applyFont="1" applyBorder="1" applyAlignment="1">
      <alignment vertical="top" wrapText="1"/>
    </xf>
    <xf numFmtId="0" fontId="10" fillId="0" borderId="3" xfId="1" applyBorder="1" applyAlignment="1">
      <alignment horizontal="center" vertical="center"/>
    </xf>
    <xf numFmtId="0" fontId="0" fillId="0" borderId="3" xfId="0" applyBorder="1" applyAlignment="1">
      <alignment horizontal="left" vertical="top" wrapText="1"/>
    </xf>
    <xf numFmtId="0" fontId="0" fillId="0" borderId="10" xfId="0" applyBorder="1" applyAlignment="1">
      <alignment horizontal="left" vertical="top" wrapText="1"/>
    </xf>
    <xf numFmtId="0" fontId="10" fillId="0" borderId="1" xfId="1" applyBorder="1" applyAlignment="1">
      <alignment horizontal="center" vertical="center"/>
    </xf>
    <xf numFmtId="0" fontId="3" fillId="0" borderId="3" xfId="1" applyFont="1" applyBorder="1" applyAlignment="1">
      <alignment vertical="top" wrapText="1"/>
    </xf>
    <xf numFmtId="0" fontId="10" fillId="0" borderId="2" xfId="1" applyBorder="1" applyAlignment="1">
      <alignment horizontal="center" vertical="top"/>
    </xf>
    <xf numFmtId="0" fontId="10" fillId="0" borderId="6" xfId="1" applyBorder="1" applyAlignment="1">
      <alignment horizontal="center" vertical="top"/>
    </xf>
    <xf numFmtId="0" fontId="10" fillId="0" borderId="6" xfId="1" applyBorder="1" applyAlignment="1">
      <alignment horizontal="center" vertical="center"/>
    </xf>
    <xf numFmtId="0" fontId="10" fillId="0" borderId="10" xfId="1" applyBorder="1" applyAlignment="1">
      <alignment horizontal="center" vertical="center"/>
    </xf>
    <xf numFmtId="0" fontId="0" fillId="0" borderId="6" xfId="0" applyBorder="1" applyAlignment="1">
      <alignment horizontal="left" vertical="top" wrapText="1"/>
    </xf>
    <xf numFmtId="0" fontId="14" fillId="0" borderId="10" xfId="0" applyFont="1" applyBorder="1" applyAlignment="1">
      <alignment horizontal="left" vertical="top" wrapText="1"/>
    </xf>
    <xf numFmtId="0" fontId="0" fillId="0" borderId="35" xfId="0" applyBorder="1" applyAlignment="1">
      <alignment horizontal="center" vertical="top"/>
    </xf>
    <xf numFmtId="0" fontId="10" fillId="0" borderId="36" xfId="1" applyBorder="1" applyAlignment="1">
      <alignment horizontal="center" vertical="top"/>
    </xf>
    <xf numFmtId="0" fontId="0" fillId="0" borderId="29" xfId="0" applyBorder="1" applyAlignment="1">
      <alignment horizontal="left" vertical="top" wrapText="1"/>
    </xf>
    <xf numFmtId="0" fontId="10" fillId="0" borderId="14" xfId="1" applyBorder="1" applyAlignment="1">
      <alignment horizontal="center" vertical="center"/>
    </xf>
    <xf numFmtId="0" fontId="15" fillId="0" borderId="3" xfId="0" applyFont="1" applyBorder="1" applyAlignment="1">
      <alignment vertical="top" wrapText="1"/>
    </xf>
    <xf numFmtId="0" fontId="10" fillId="0" borderId="37" xfId="1" applyBorder="1" applyAlignment="1">
      <alignment horizontal="center" vertical="top"/>
    </xf>
    <xf numFmtId="0" fontId="16" fillId="0" borderId="0" xfId="0" applyFont="1" applyAlignment="1">
      <alignment horizontal="center" vertical="center"/>
    </xf>
    <xf numFmtId="0" fontId="16" fillId="0" borderId="3" xfId="0" applyFont="1" applyBorder="1" applyAlignment="1">
      <alignment horizontal="center" vertical="center"/>
    </xf>
    <xf numFmtId="0" fontId="3" fillId="0" borderId="7" xfId="0" applyFont="1" applyBorder="1" applyAlignment="1">
      <alignment horizontal="left" vertical="top" wrapText="1"/>
    </xf>
    <xf numFmtId="0" fontId="1" fillId="17" borderId="9" xfId="0" applyFont="1" applyFill="1" applyBorder="1" applyAlignment="1">
      <alignment horizontal="center" vertical="top" wrapText="1"/>
    </xf>
    <xf numFmtId="0" fontId="1" fillId="6" borderId="1" xfId="0" applyFont="1" applyFill="1" applyBorder="1" applyAlignment="1">
      <alignment horizontal="center" vertical="top"/>
    </xf>
    <xf numFmtId="0" fontId="1" fillId="0" borderId="4" xfId="0" applyFont="1" applyBorder="1" applyAlignment="1">
      <alignment horizontal="center" vertical="top"/>
    </xf>
    <xf numFmtId="0" fontId="8" fillId="14" borderId="21" xfId="0" applyFont="1" applyFill="1" applyBorder="1" applyAlignment="1"/>
    <xf numFmtId="0" fontId="8" fillId="14" borderId="16" xfId="0" applyFont="1" applyFill="1" applyBorder="1" applyAlignment="1"/>
    <xf numFmtId="0" fontId="4" fillId="0" borderId="4" xfId="0" applyFont="1" applyBorder="1" applyAlignment="1"/>
    <xf numFmtId="0" fontId="4" fillId="0" borderId="13" xfId="0" applyFont="1" applyBorder="1" applyAlignment="1"/>
    <xf numFmtId="0" fontId="4" fillId="0" borderId="8" xfId="0" applyFont="1" applyBorder="1" applyAlignment="1"/>
    <xf numFmtId="0" fontId="4" fillId="0" borderId="9"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5" Type="http://schemas.openxmlformats.org/officeDocument/2006/relationships/styles" Target="styles.xml"/><Relationship Id="rId59" Type="http://schemas.openxmlformats.org/officeDocument/2006/relationships/customXml" Target="../customXml/item2.xml"/><Relationship Id="rId2" Type="http://schemas.openxmlformats.org/officeDocument/2006/relationships/worksheet" Target="worksheets/sheet2.xml"/><Relationship Id="rId54" Type="http://schemas.openxmlformats.org/officeDocument/2006/relationships/theme" Target="theme/theme1.xml"/><Relationship Id="rId1" Type="http://schemas.openxmlformats.org/officeDocument/2006/relationships/worksheet" Target="worksheets/sheet1.xml"/><Relationship Id="rId53" Type="http://customschemas.google.com/relationships/workbookmetadata" Target="metadata"/><Relationship Id="rId58" Type="http://schemas.openxmlformats.org/officeDocument/2006/relationships/customXml" Target="../customXml/item1.xml"/><Relationship Id="rId57" Type="http://schemas.openxmlformats.org/officeDocument/2006/relationships/calcChain" Target="calcChain.xml"/><Relationship Id="rId60" Type="http://schemas.openxmlformats.org/officeDocument/2006/relationships/customXml" Target="../customXml/item3.xml"/><Relationship Id="rId5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27</xdr:row>
      <xdr:rowOff>123825</xdr:rowOff>
    </xdr:to>
    <xdr:pic>
      <xdr:nvPicPr>
        <xdr:cNvPr id="2" name="Picture 1">
          <a:extLst>
            <a:ext uri="{FF2B5EF4-FFF2-40B4-BE49-F238E27FC236}">
              <a16:creationId xmlns:a16="http://schemas.microsoft.com/office/drawing/2014/main" id="{0374044E-163A-4117-902D-D504FDBF5F95}"/>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f:/s/TrueCorp-TrueDtacTH-TotalAccessCommunicationPlc-TechM-Workingarea/IgAXBCskWGelSqhJxggsw5ENAalffTccTaBF4ElTe7v1ESo?e=iz3OPP" TargetMode="External"/><Relationship Id="rId21" Type="http://schemas.openxmlformats.org/officeDocument/2006/relationships/hyperlink" Target="../../../../../../../../../../../../../:f:/s/TrueCorp-TrueDtacTH-TotalAccessCommunicationPlc-TechM-Workingarea/IgAe6SBidWxeQKMRKeQf3yPiAQ9G9qHKaqBnQwsnD20QfA4?e=9Ig6NU" TargetMode="External"/><Relationship Id="rId42"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6/IOS?csf=1&amp;web=1&amp;e=4anRGk" TargetMode="External"/><Relationship Id="rId47"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1/IOS?csf=1&amp;web=1&amp;e=c6Ce0F" TargetMode="External"/><Relationship Id="rId6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7/Android/ADR_ON_QR_CUS_26-38.mp4?csf=1&amp;web=1&amp;e=nFYHVR" TargetMode="External"/><Relationship Id="rId6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3/Android?csf=1&amp;web=1&amp;e=6sHlUJ" TargetMode="External"/><Relationship Id="rId2" Type="http://schemas.openxmlformats.org/officeDocument/2006/relationships/hyperlink" Target="https://www.figma.com/design/yjyoAP0EMDXJST790SY49T/ONE006-ONE-APP---TOL?node-id=4146-257278&amp;t=RFJS0y03vooolX1O-4" TargetMode="External"/><Relationship Id="rId16" Type="http://schemas.openxmlformats.org/officeDocument/2006/relationships/hyperlink" Target="../../../../../../../../../../../../../:f:/s/TrueCorp-TrueDtacTH-TotalAccessCommunicationPlc-TechM-Workingarea/IgDptjJZR_7JTr1hLbx4f4PkAcAO2ntgB3ZQ1HmTpIza66I?e=nBHc3J" TargetMode="External"/><Relationship Id="rId29" Type="http://schemas.openxmlformats.org/officeDocument/2006/relationships/hyperlink" Target="../../../../../../../../../../../../../:f:/s/TrueCorp-TrueDtacTH-TotalAccessCommunicationPlc-TechM-Workingarea/IgAWYbklLE9USoBQ6HXPVPNAATO6Que1kCW_mWT85ZxDFzQ?e=qd5bF0" TargetMode="External"/><Relationship Id="rId11" Type="http://schemas.openxmlformats.org/officeDocument/2006/relationships/hyperlink" Target="../../../../../../../../../../../../../:f:/s/TrueCorp-TrueDtacTH-TotalAccessCommunicationPlc-TechM-Workingarea/IgBE2H45f_UERaQm6s68eJfsAU3RcozxdzzGZai1qwZvLPA?e=pEcjlu" TargetMode="External"/><Relationship Id="rId24" Type="http://schemas.openxmlformats.org/officeDocument/2006/relationships/hyperlink" Target="../../../../../../../../../../../../../:f:/s/TrueCorp-TrueDtacTH-TotalAccessCommunicationPlc-TechM-Workingarea/IgB1j9_SySDVRLvo-hPNwkijAUlD5-IDSBu-CEpFvRhJtJA?e=DznNEk" TargetMode="External"/><Relationship Id="rId32"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6/IOS?csf=1&amp;web=1&amp;e=vHnhms" TargetMode="External"/><Relationship Id="rId37"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1/IOS?csf=1&amp;web=1&amp;e=mb7KtO" TargetMode="External"/><Relationship Id="rId40"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4/IOS?csf=1&amp;web=1&amp;e=lJ24hz" TargetMode="External"/><Relationship Id="rId45"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9/IOS?csf=1&amp;web=1&amp;e=QGmPPn" TargetMode="External"/><Relationship Id="rId53"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7/Android/ADR_ON_QR_CUS_26-38.mp4?csf=1&amp;web=1&amp;e=xWnsWU" TargetMode="External"/><Relationship Id="rId58"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2/Android/ADR_ON_QR_CUS_26-38.mp4?csf=1&amp;web=1&amp;e=YacewY" TargetMode="External"/><Relationship Id="rId6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2/Android?csf=1&amp;web=1&amp;e=KY4u3I" TargetMode="External"/><Relationship Id="rId7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0/IOS?csf=1&amp;web=1&amp;e=K2sERX" TargetMode="External"/><Relationship Id="rId5" Type="http://schemas.openxmlformats.org/officeDocument/2006/relationships/hyperlink" Target="https://trueomx.atlassian.net/browse/THL-573" TargetMode="External"/><Relationship Id="rId6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5/Android/ADR_ON_QR_CUS_26-38.mp4?csf=1&amp;web=1&amp;e=7WWbfR" TargetMode="External"/><Relationship Id="rId19" Type="http://schemas.openxmlformats.org/officeDocument/2006/relationships/hyperlink" Target="../../../../../../../../../../../../../:f:/s/TrueCorp-TrueDtacTH-TotalAccessCommunicationPlc-TechM-Workingarea/IgCqnJHge_3wTqmnGSEAp_2OARVzFTGdRB2Hn5PGorgKEBU?e=WVF6Yr" TargetMode="External"/><Relationship Id="rId14" Type="http://schemas.openxmlformats.org/officeDocument/2006/relationships/hyperlink" Target="../../../../../../../../../../../../../:f:/s/TrueCorp-TrueDtacTH-TotalAccessCommunicationPlc-TechM-Workingarea/IgAefVSEYa0dTaMu1FPdlOksAThWvBI4gAMd0tlD6SeB2Ys?e=lJIV2N" TargetMode="External"/><Relationship Id="rId22" Type="http://schemas.openxmlformats.org/officeDocument/2006/relationships/hyperlink" Target="../../../../../../../../../../../../../:f:/s/TrueCorp-TrueDtacTH-TotalAccessCommunicationPlc-TechM-Workingarea/IgD22IBcniAoR6dS-QH5SucJAQjFxPlsP9ueYCTS--3ltmg?e=KQAdji" TargetMode="External"/><Relationship Id="rId27" Type="http://schemas.openxmlformats.org/officeDocument/2006/relationships/hyperlink" Target="../../../../../../../../../../../../../:f:/s/TrueCorp-TrueDtacTH-TotalAccessCommunicationPlc-TechM-Workingarea/IgAx_d1-Z0v9T7aQ3T5MPL19AQxnE2RxE9WG529SRMw8NOM?e=bjfwpp" TargetMode="External"/><Relationship Id="rId30" Type="http://schemas.openxmlformats.org/officeDocument/2006/relationships/hyperlink" Target="../../../../../../../../../../../../../:f:/s/TrueCorp-TrueDtacTH-TotalAccessCommunicationPlc-TechM-Workingarea/IgDrlQAaVCZ3QZTkKms4ge_tAT2K_SymMfXQvgvGhNetT9w?e=ACftHm" TargetMode="External"/><Relationship Id="rId35"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9/IOS?csf=1&amp;web=1&amp;e=ozrFSL" TargetMode="External"/><Relationship Id="rId43"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7/IOS?csf=1&amp;web=1&amp;e=on8pu8" TargetMode="External"/><Relationship Id="rId48"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2/IOS?csf=1&amp;web=1&amp;e=IrhYoV" TargetMode="External"/><Relationship Id="rId56"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0/Android/ADR_ON_QR_CUS_26-38.mp4?csf=1&amp;web=1&amp;e=597zbo" TargetMode="External"/><Relationship Id="rId6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8/Android/ADR_ON_QR_CUS_26-38.mp4?csf=1&amp;web=1&amp;e=gJugQy" TargetMode="External"/><Relationship Id="rId6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3/IOS?csf=1&amp;web=1&amp;e=x60f5f" TargetMode="External"/><Relationship Id="rId8" Type="http://schemas.openxmlformats.org/officeDocument/2006/relationships/hyperlink" Target="../../../../../../../../../../../../../:f:/s/TrueCorp-TrueDtacTH-TotalAccessCommunicationPlc-TechM-Workingarea/IgAY40AIVmpnRp7Pyi-StuwJAQcUeU4Bgf0ge-cl9tlE1P0?e=y2IpSi" TargetMode="External"/><Relationship Id="rId51"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2/Android/ADR_ON_QR_CUS_12.mp4?csf=1&amp;web=1&amp;e=T94NSb" TargetMode="External"/><Relationship Id="rId7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8/Android?csf=1&amp;web=1&amp;e=hvlaZ4" TargetMode="External"/><Relationship Id="rId3" Type="http://schemas.openxmlformats.org/officeDocument/2006/relationships/hyperlink" Target="https://trueomx.atlassian.net/browse/THL-573" TargetMode="External"/><Relationship Id="rId12" Type="http://schemas.openxmlformats.org/officeDocument/2006/relationships/hyperlink" Target="../../../../../../../../../../../../../:f:/s/TrueCorp-TrueDtacTH-TotalAccessCommunicationPlc-TechM-Workingarea/IgBFTW61oH9GQp9mOB3ONuOOAQ8mO5DsL6E8qo3JQctjOBw?e=63J4FY" TargetMode="External"/><Relationship Id="rId17" Type="http://schemas.openxmlformats.org/officeDocument/2006/relationships/hyperlink" Target="../../../../../../../../../../../../../:f:/s/TrueCorp-TrueDtacTH-TotalAccessCommunicationPlc-TechM-Workingarea/IgBjh6VYDV9wQrMcPBOVZYfNAcLQaeg9R5mMpi03siAq2DI?e=SHIo4v" TargetMode="External"/><Relationship Id="rId25" Type="http://schemas.openxmlformats.org/officeDocument/2006/relationships/hyperlink" Target="../../../../../../../../../../../../../:f:/s/TrueCorp-TrueDtacTH-TotalAccessCommunicationPlc-TechM-Workingarea/IgAWx-Mhw7imQp_6dSBesTaTAcuAjc0cOKM7LBu21UG0dLE?e=WUUvdg" TargetMode="External"/><Relationship Id="rId33"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7/IOS?csf=1&amp;web=1&amp;e=6Gyj6x" TargetMode="External"/><Relationship Id="rId38"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2/IOS?csf=1&amp;web=1&amp;e=PzjLh2" TargetMode="External"/><Relationship Id="rId46"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3/IOS?csf=1&amp;web=1&amp;e=NzDOzu" TargetMode="External"/><Relationship Id="rId5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3/Android/ADR_ON_QR_CUS_26-38.mp4?csf=1&amp;web=1&amp;e=tJedVA" TargetMode="External"/><Relationship Id="rId6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2/IOS?csf=1&amp;web=1&amp;e=9OGHMG" TargetMode="External"/><Relationship Id="rId20" Type="http://schemas.openxmlformats.org/officeDocument/2006/relationships/hyperlink" Target="../../../../../../../../../../../../../:f:/s/TrueCorp-TrueDtacTH-TotalAccessCommunicationPlc-TechM-Workingarea/IgAIKeUbcs01QKLEeddjBU9TAf4ZDDJ58JAcs5un6b23ZMQ?e=01nGjs" TargetMode="External"/><Relationship Id="rId41"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5/IOS?csf=1&amp;web=1&amp;e=jRW25E" TargetMode="External"/><Relationship Id="rId54"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8/Android/ADR_ON_QR_CUS_26-38.mp4?csf=1&amp;web=1&amp;e=m7V2Db" TargetMode="External"/><Relationship Id="rId6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6/Android/ADR_ON_QR_CUS_26-38.mp4?csf=1&amp;web=1&amp;e=VBdRlj" TargetMode="External"/><Relationship Id="rId7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4/Android?csf=1&amp;web=1&amp;e=wsKjiF" TargetMode="External"/><Relationship Id="rId7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0/Android?csf=1&amp;web=1&amp;e=VBZbn6" TargetMode="External"/><Relationship Id="rId1" Type="http://schemas.openxmlformats.org/officeDocument/2006/relationships/hyperlink" Target="https://trueomx.atlassian.net/browse/THL-566" TargetMode="External"/><Relationship Id="rId6" Type="http://schemas.openxmlformats.org/officeDocument/2006/relationships/hyperlink" Target="../../../../../../../../../../../../../:f:/s/TrueCorp-TrueDtacTH-TotalAccessCommunicationPlc-TechM-Workingarea/IgBnKorNzGOLQrNXxF_VWZQ9ARMeqw_pqMRM73Jjn_G55LI?e=9xqsGn" TargetMode="External"/><Relationship Id="rId15" Type="http://schemas.openxmlformats.org/officeDocument/2006/relationships/hyperlink" Target="../../../../../../../../../../../../../:f:/s/TrueCorp-TrueDtacTH-TotalAccessCommunicationPlc-TechM-Workingarea/IgAKFEHXD89zSZNSVNHdFHxaAXw1IPTDru83GQC7GJhLNRw?e=uWTqcP" TargetMode="External"/><Relationship Id="rId23" Type="http://schemas.openxmlformats.org/officeDocument/2006/relationships/hyperlink" Target="../../../../../../../../../../../../../:f:/s/TrueCorp-TrueDtacTH-TotalAccessCommunicationPlc-TechM-Workingarea/IgCu1rYWhQ2DRLakyhEoGDuxAZARhCO8tr1FU7dUGuePYto?e=VuSHMa" TargetMode="External"/><Relationship Id="rId28" Type="http://schemas.openxmlformats.org/officeDocument/2006/relationships/hyperlink" Target="../../../../../../../../../../../../../:f:/s/TrueCorp-TrueDtacTH-TotalAccessCommunicationPlc-TechM-Workingarea/IgBMUrPmlBFiRZINrOzxRDinAYkc_0y9PNNrzwVa5PFWW-4?e=qtJaMC" TargetMode="External"/><Relationship Id="rId36"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0/IOS?csf=1&amp;web=1&amp;e=854Jmi" TargetMode="External"/><Relationship Id="rId49"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9/Android/ADR_ON_QR_CUS_09.mp4?csf=1&amp;web=1&amp;e=Brfq9C" TargetMode="External"/><Relationship Id="rId57"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1/Android/ADR_ON_QR_CUS_26-38.mp4?csf=1&amp;web=1&amp;e=V60M5u" TargetMode="External"/><Relationship Id="rId10" Type="http://schemas.openxmlformats.org/officeDocument/2006/relationships/hyperlink" Target="../../../../../../../../../../../../../:f:/s/TrueCorp-TrueDtacTH-TotalAccessCommunicationPlc-TechM-Workingarea/IgBk-IdUxLDTRog0u2Ol3v6hAWKK2Mbe6esk4pnIXFUaMUA?e=3qQ9v6" TargetMode="External"/><Relationship Id="rId31" Type="http://schemas.openxmlformats.org/officeDocument/2006/relationships/hyperlink" Target="../../../../../../../../../../../../../:f:/s/TrueCorp-TrueDtacTH-TotalAccessCommunicationPlc-TechM-Workingarea/IgDSXmjgkBmjTKUWGFxU-7FDAXayzPbWVs_p2hS6647TmiQ?e=as5UaU" TargetMode="External"/><Relationship Id="rId44"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8/IOS?csf=1&amp;web=1&amp;e=M53e53" TargetMode="External"/><Relationship Id="rId52"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6/Android/ADR_ON_QR_CUS_26-38.mp4?csf=1&amp;web=1&amp;e=Nnd5Zk" TargetMode="External"/><Relationship Id="rId6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4/Android/ADR_ON_QR_CUS_26-38.mp4?csf=1&amp;web=1&amp;e=yrpet3" TargetMode="External"/><Relationship Id="rId6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3/Android?csf=1&amp;web=1&amp;e=FIN3PA" TargetMode="External"/><Relationship Id="rId7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8/IOS?csf=1&amp;web=1&amp;e=hg4pOF" TargetMode="External"/><Relationship Id="rId4" Type="http://schemas.openxmlformats.org/officeDocument/2006/relationships/hyperlink" Target="https://trueomx.atlassian.net/browse/THL-573" TargetMode="External"/><Relationship Id="rId9" Type="http://schemas.openxmlformats.org/officeDocument/2006/relationships/hyperlink" Target="../../../../../../../../../../../../../:f:/s/TrueCorp-TrueDtacTH-TotalAccessCommunicationPlc-TechM-Workingarea/IgCx5TG0ll_ZQoH7wDmqfLyvAQJLpfI7YC6RfwxzHm5ytH8?e=blhWmt" TargetMode="External"/><Relationship Id="rId13" Type="http://schemas.openxmlformats.org/officeDocument/2006/relationships/hyperlink" Target="../../../../../../../../../../../../../:f:/s/TrueCorp-TrueDtacTH-TotalAccessCommunicationPlc-TechM-Workingarea/IgC7jEfIGzoIT51uTE-LEIddAUFFg95InuehipwbIEK-6j4?e=IRvrvx" TargetMode="External"/><Relationship Id="rId18" Type="http://schemas.openxmlformats.org/officeDocument/2006/relationships/hyperlink" Target="../../../../../../../../../../../../../:f:/s/TrueCorp-TrueDtacTH-TotalAccessCommunicationPlc-TechM-Workingarea/IgCm-lp4K5uTR7GIC5-q-4a2AdwJk242NpnulZ_UG2xZAPk?e=6xpldW" TargetMode="External"/><Relationship Id="rId39"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33/IOS?csf=1&amp;web=1&amp;e=xS75jS" TargetMode="External"/><Relationship Id="rId34" Type="http://schemas.openxmlformats.org/officeDocument/2006/relationships/hyperlink" Target="../../../../../../../../../../../../../: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8/IOS?csf=1&amp;web=1&amp;e=HlXkIA" TargetMode="External"/><Relationship Id="rId50"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11/Android/ADR_ON_QR_CUS_11.mp4?csf=1&amp;web=1&amp;e=5h9ZLE" TargetMode="External"/><Relationship Id="rId55" Type="http://schemas.openxmlformats.org/officeDocument/2006/relationships/hyperlink" Target="https://truecorp.sharepoint.com/:v:/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29/Android/ADR_ON_QR_CUS_26-38.mp4?csf=1&amp;web=1&amp;e=HWkjdr" TargetMode="External"/><Relationship Id="rId7" Type="http://schemas.openxmlformats.org/officeDocument/2006/relationships/hyperlink" Target="../../../../../../../../../../../../../:f:/s/TrueCorp-TrueDtacTH-TotalAccessCommunicationPlc-TechM-Workingarea/IgAAep7-AQAVQItCSrNKVacxAa4qGUzmdI6o10y0bTkp6qU?e=SwXUJb" TargetMode="External"/><Relationship Id="rId7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8.%20CUSTOMER%20SELF-VERIFICATION%20BY%20QR_CUSTOMER%20SCREEN/ON_QR_CUS_04/IOS?csf=1&amp;web=1&amp;e=8Wels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5AC2-5D68-4326-9C31-91BFD67AEC92}">
  <dimension ref="A1"/>
  <sheetViews>
    <sheetView workbookViewId="0">
      <selection activeCell="R18" sqref="R18"/>
    </sheetView>
  </sheetViews>
  <sheetFormatPr defaultRowHeight="12.6"/>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FF"/>
    <outlinePr summaryBelow="0" summaryRight="0"/>
  </sheetPr>
  <dimension ref="A1:AW988"/>
  <sheetViews>
    <sheetView tabSelected="1" topLeftCell="AC1" zoomScale="70" zoomScaleNormal="70" workbookViewId="0">
      <pane ySplit="3" topLeftCell="G40" activePane="bottomLeft" state="frozen"/>
      <selection pane="bottomLeft" activeCell="AG48" sqref="AG48"/>
    </sheetView>
  </sheetViews>
  <sheetFormatPr defaultColWidth="12.5703125" defaultRowHeight="15" customHeight="1"/>
  <cols>
    <col min="1" max="1" width="15.42578125" style="2" customWidth="1"/>
    <col min="2" max="2" width="19" style="2" customWidth="1"/>
    <col min="3" max="3" width="10.140625" style="2" customWidth="1"/>
    <col min="4" max="4" width="19" style="2" customWidth="1"/>
    <col min="5" max="5" width="11.5703125" style="2" customWidth="1"/>
    <col min="6" max="6" width="26.7109375" style="2" customWidth="1"/>
    <col min="7" max="7" width="19.7109375" style="2" customWidth="1"/>
    <col min="8" max="8" width="49.5703125" style="2" customWidth="1"/>
    <col min="9" max="9" width="10.28515625" style="2" customWidth="1"/>
    <col min="10" max="13" width="3.42578125" style="2" customWidth="1"/>
    <col min="14" max="14" width="14.42578125" style="2" customWidth="1"/>
    <col min="15" max="15" width="9.7109375" style="2" customWidth="1"/>
    <col min="16" max="18" width="4.42578125" style="2" customWidth="1"/>
    <col min="19" max="20" width="8.7109375" style="2" customWidth="1"/>
    <col min="21" max="23" width="4.42578125" style="2" customWidth="1"/>
    <col min="24" max="24" width="5.42578125" style="2" customWidth="1"/>
    <col min="25" max="25" width="6.140625" style="2" customWidth="1"/>
    <col min="26" max="26" width="7.140625" style="2" customWidth="1"/>
    <col min="27" max="27" width="12.5703125" style="2" customWidth="1"/>
    <col min="28" max="28" width="54.42578125" style="2" customWidth="1"/>
    <col min="29" max="29" width="71.85546875" style="2" customWidth="1"/>
    <col min="30" max="30" width="20.85546875" style="2" customWidth="1"/>
    <col min="31" max="32" width="12.5703125" style="2"/>
    <col min="33" max="33" width="60.7109375" style="2" customWidth="1"/>
    <col min="34" max="34" width="15.42578125" style="2" customWidth="1"/>
    <col min="35" max="35" width="12.5703125" style="2"/>
    <col min="36" max="36" width="69.28515625" style="2" customWidth="1"/>
    <col min="37" max="16384" width="12.5703125" style="2"/>
  </cols>
  <sheetData>
    <row r="1" spans="1:49" ht="36.75" customHeight="1">
      <c r="A1" s="125" t="s">
        <v>0</v>
      </c>
      <c r="B1" s="125" t="s">
        <v>1</v>
      </c>
      <c r="C1" s="133" t="s">
        <v>2</v>
      </c>
      <c r="D1" s="134"/>
      <c r="E1" s="133" t="s">
        <v>3</v>
      </c>
      <c r="F1" s="134"/>
      <c r="G1" s="125" t="s">
        <v>4</v>
      </c>
      <c r="H1" s="125" t="s">
        <v>5</v>
      </c>
      <c r="I1" s="128" t="s">
        <v>6</v>
      </c>
      <c r="J1" s="130" t="s">
        <v>7</v>
      </c>
      <c r="K1" s="130"/>
      <c r="L1" s="130"/>
      <c r="M1" s="130"/>
      <c r="N1" s="131" t="s">
        <v>8</v>
      </c>
      <c r="O1" s="132"/>
      <c r="P1" s="139" t="s">
        <v>9</v>
      </c>
      <c r="Q1" s="188"/>
      <c r="R1" s="188"/>
      <c r="S1" s="188"/>
      <c r="T1" s="188"/>
      <c r="U1" s="189"/>
      <c r="V1" s="148" t="s">
        <v>10</v>
      </c>
      <c r="W1" s="149"/>
      <c r="X1" s="156" t="s">
        <v>11</v>
      </c>
      <c r="Y1" s="157"/>
      <c r="Z1" s="157"/>
      <c r="AA1" s="158"/>
      <c r="AB1" s="140" t="s">
        <v>12</v>
      </c>
      <c r="AC1" s="125" t="s">
        <v>13</v>
      </c>
      <c r="AD1" s="125" t="s">
        <v>14</v>
      </c>
      <c r="AE1" s="137" t="s">
        <v>15</v>
      </c>
      <c r="AF1" s="137" t="s">
        <v>16</v>
      </c>
      <c r="AG1" s="140" t="s">
        <v>17</v>
      </c>
      <c r="AH1" s="125" t="s">
        <v>18</v>
      </c>
      <c r="AI1" s="125" t="s">
        <v>19</v>
      </c>
      <c r="AJ1" s="8"/>
      <c r="AK1" s="8"/>
      <c r="AL1" s="8"/>
      <c r="AM1" s="8"/>
      <c r="AN1" s="8"/>
      <c r="AO1" s="8"/>
      <c r="AP1" s="8"/>
      <c r="AQ1" s="8"/>
      <c r="AR1" s="8"/>
      <c r="AS1" s="8"/>
      <c r="AT1" s="8"/>
      <c r="AU1" s="8"/>
      <c r="AV1" s="8"/>
      <c r="AW1" s="8"/>
    </row>
    <row r="2" spans="1:49" ht="36.75" customHeight="1">
      <c r="A2" s="126"/>
      <c r="B2" s="126"/>
      <c r="C2" s="135"/>
      <c r="D2" s="136"/>
      <c r="E2" s="135"/>
      <c r="F2" s="136"/>
      <c r="G2" s="126"/>
      <c r="H2" s="126"/>
      <c r="I2" s="129"/>
      <c r="J2" s="130"/>
      <c r="K2" s="130"/>
      <c r="L2" s="130"/>
      <c r="M2" s="130"/>
      <c r="N2" s="131"/>
      <c r="O2" s="132"/>
      <c r="P2" s="142" t="s">
        <v>20</v>
      </c>
      <c r="Q2" s="144" t="s">
        <v>21</v>
      </c>
      <c r="R2" s="146" t="s">
        <v>22</v>
      </c>
      <c r="S2" s="146"/>
      <c r="T2" s="146"/>
      <c r="U2" s="147"/>
      <c r="V2" s="150"/>
      <c r="W2" s="151"/>
      <c r="X2" s="152" t="s">
        <v>23</v>
      </c>
      <c r="Y2" s="154" t="s">
        <v>24</v>
      </c>
      <c r="Z2" s="159" t="s">
        <v>25</v>
      </c>
      <c r="AA2" s="160"/>
      <c r="AB2" s="141"/>
      <c r="AC2" s="126"/>
      <c r="AD2" s="126"/>
      <c r="AE2" s="138"/>
      <c r="AF2" s="138"/>
      <c r="AG2" s="141"/>
      <c r="AH2" s="126"/>
      <c r="AI2" s="126"/>
      <c r="AJ2" s="8"/>
      <c r="AK2" s="8"/>
      <c r="AL2" s="8"/>
      <c r="AM2" s="8"/>
      <c r="AN2" s="8"/>
      <c r="AO2" s="8"/>
      <c r="AP2" s="8"/>
      <c r="AQ2" s="8"/>
      <c r="AR2" s="8"/>
      <c r="AS2" s="8"/>
      <c r="AT2" s="8"/>
      <c r="AU2" s="8"/>
      <c r="AV2" s="8"/>
      <c r="AW2" s="8"/>
    </row>
    <row r="3" spans="1:49" ht="64.5" customHeight="1">
      <c r="A3" s="127"/>
      <c r="B3" s="190"/>
      <c r="C3" s="87" t="s">
        <v>26</v>
      </c>
      <c r="D3" s="87" t="s">
        <v>27</v>
      </c>
      <c r="E3" s="87" t="s">
        <v>26</v>
      </c>
      <c r="F3" s="87" t="s">
        <v>27</v>
      </c>
      <c r="G3" s="191"/>
      <c r="H3" s="191"/>
      <c r="I3" s="192"/>
      <c r="J3" s="38" t="s">
        <v>28</v>
      </c>
      <c r="K3" s="38" t="s">
        <v>29</v>
      </c>
      <c r="L3" s="38" t="s">
        <v>30</v>
      </c>
      <c r="M3" s="38" t="s">
        <v>31</v>
      </c>
      <c r="N3" s="24" t="s">
        <v>32</v>
      </c>
      <c r="O3" s="44" t="s">
        <v>33</v>
      </c>
      <c r="P3" s="143"/>
      <c r="Q3" s="145"/>
      <c r="R3" s="48" t="s">
        <v>34</v>
      </c>
      <c r="S3" s="48" t="s">
        <v>35</v>
      </c>
      <c r="T3" s="48" t="s">
        <v>36</v>
      </c>
      <c r="U3" s="49" t="s">
        <v>37</v>
      </c>
      <c r="V3" s="45" t="s">
        <v>38</v>
      </c>
      <c r="W3" s="46" t="s">
        <v>39</v>
      </c>
      <c r="X3" s="153"/>
      <c r="Y3" s="155"/>
      <c r="Z3" s="42" t="s">
        <v>40</v>
      </c>
      <c r="AA3" s="43" t="s">
        <v>41</v>
      </c>
      <c r="AB3" s="193"/>
      <c r="AC3" s="190"/>
      <c r="AD3" s="190"/>
      <c r="AE3" s="190"/>
      <c r="AF3" s="190"/>
      <c r="AG3" s="193"/>
      <c r="AH3" s="190"/>
      <c r="AI3" s="190"/>
      <c r="AJ3" s="8"/>
      <c r="AK3" s="8"/>
      <c r="AL3" s="8"/>
      <c r="AM3" s="8"/>
      <c r="AN3" s="8"/>
      <c r="AO3" s="8"/>
      <c r="AP3" s="8"/>
      <c r="AQ3" s="8"/>
      <c r="AR3" s="8"/>
      <c r="AS3" s="8"/>
      <c r="AT3" s="8"/>
      <c r="AU3" s="8"/>
      <c r="AV3" s="8"/>
      <c r="AW3" s="8"/>
    </row>
    <row r="4" spans="1:49" ht="153.75" customHeight="1">
      <c r="A4" s="16" t="s">
        <v>42</v>
      </c>
      <c r="B4" s="16" t="s">
        <v>43</v>
      </c>
      <c r="C4" s="170" t="s">
        <v>44</v>
      </c>
      <c r="D4" s="169" t="s">
        <v>45</v>
      </c>
      <c r="E4" s="171" t="s">
        <v>46</v>
      </c>
      <c r="F4" s="164" t="s">
        <v>47</v>
      </c>
      <c r="G4" s="30" t="s">
        <v>48</v>
      </c>
      <c r="H4" s="10" t="s">
        <v>49</v>
      </c>
      <c r="I4" s="50" t="s">
        <v>50</v>
      </c>
      <c r="J4" s="55"/>
      <c r="K4" s="55"/>
      <c r="L4" s="55"/>
      <c r="M4" s="55"/>
      <c r="N4" s="55"/>
      <c r="O4" s="56"/>
      <c r="P4" s="57"/>
      <c r="Q4" s="58"/>
      <c r="R4" s="58"/>
      <c r="S4" s="58"/>
      <c r="T4" s="58"/>
      <c r="U4" s="59"/>
      <c r="V4" s="57"/>
      <c r="W4" s="60"/>
      <c r="X4" s="61"/>
      <c r="Y4" s="58"/>
      <c r="Z4" s="58"/>
      <c r="AA4" s="60"/>
      <c r="AB4" s="31" t="s">
        <v>51</v>
      </c>
      <c r="AC4" s="32" t="s">
        <v>52</v>
      </c>
      <c r="AD4" s="186" t="s">
        <v>53</v>
      </c>
      <c r="AE4" s="86" t="s">
        <v>54</v>
      </c>
      <c r="AF4" s="86" t="s">
        <v>54</v>
      </c>
      <c r="AG4" s="90" t="s">
        <v>55</v>
      </c>
      <c r="AH4" s="70" t="s">
        <v>56</v>
      </c>
      <c r="AI4" s="9"/>
      <c r="AJ4" s="11"/>
      <c r="AK4" s="11"/>
      <c r="AL4" s="11"/>
      <c r="AM4" s="11"/>
      <c r="AN4" s="11"/>
      <c r="AO4" s="11"/>
      <c r="AP4" s="11"/>
      <c r="AQ4" s="11"/>
      <c r="AR4" s="11"/>
      <c r="AS4" s="11"/>
      <c r="AT4" s="11"/>
      <c r="AU4" s="11"/>
      <c r="AV4" s="11"/>
      <c r="AW4" s="11"/>
    </row>
    <row r="5" spans="1:49" ht="214.5" customHeight="1">
      <c r="A5" s="16" t="s">
        <v>42</v>
      </c>
      <c r="B5" s="16" t="s">
        <v>43</v>
      </c>
      <c r="C5" s="116" t="s">
        <v>57</v>
      </c>
      <c r="D5" s="166" t="s">
        <v>58</v>
      </c>
      <c r="E5" s="172" t="s">
        <v>46</v>
      </c>
      <c r="F5" s="163" t="s">
        <v>59</v>
      </c>
      <c r="G5" s="30" t="s">
        <v>60</v>
      </c>
      <c r="H5" s="10" t="s">
        <v>61</v>
      </c>
      <c r="I5" s="50" t="s">
        <v>50</v>
      </c>
      <c r="J5" s="20" t="s">
        <v>62</v>
      </c>
      <c r="K5" s="12"/>
      <c r="L5" s="20"/>
      <c r="M5" s="20"/>
      <c r="N5" s="55"/>
      <c r="O5" s="56"/>
      <c r="P5" s="62"/>
      <c r="Q5" s="55"/>
      <c r="R5" s="55"/>
      <c r="S5" s="55"/>
      <c r="T5" s="55"/>
      <c r="U5" s="56"/>
      <c r="V5" s="62"/>
      <c r="W5" s="63"/>
      <c r="X5" s="41" t="s">
        <v>62</v>
      </c>
      <c r="Y5" s="21"/>
      <c r="Z5" s="26" t="s">
        <v>62</v>
      </c>
      <c r="AA5" s="40"/>
      <c r="AB5" s="17" t="s">
        <v>63</v>
      </c>
      <c r="AC5" s="184" t="s">
        <v>64</v>
      </c>
      <c r="AD5" s="183" t="s">
        <v>65</v>
      </c>
      <c r="AE5" s="185" t="s">
        <v>54</v>
      </c>
      <c r="AF5" s="86" t="s">
        <v>54</v>
      </c>
      <c r="AG5" s="180" t="s">
        <v>66</v>
      </c>
      <c r="AH5" s="70" t="s">
        <v>56</v>
      </c>
      <c r="AI5" s="9"/>
      <c r="AJ5" s="11"/>
      <c r="AK5" s="11"/>
      <c r="AL5" s="11"/>
      <c r="AM5" s="11"/>
      <c r="AN5" s="11"/>
      <c r="AO5" s="11"/>
      <c r="AP5" s="11"/>
      <c r="AQ5" s="11"/>
      <c r="AR5" s="11"/>
      <c r="AS5" s="11"/>
      <c r="AT5" s="11"/>
      <c r="AU5" s="11"/>
      <c r="AV5" s="11"/>
      <c r="AW5" s="11"/>
    </row>
    <row r="6" spans="1:49" ht="234" customHeight="1">
      <c r="A6" s="16" t="s">
        <v>42</v>
      </c>
      <c r="B6" s="16" t="s">
        <v>43</v>
      </c>
      <c r="C6" s="168" t="s">
        <v>57</v>
      </c>
      <c r="D6" s="174" t="s">
        <v>58</v>
      </c>
      <c r="E6" s="173" t="s">
        <v>46</v>
      </c>
      <c r="F6" s="163" t="s">
        <v>59</v>
      </c>
      <c r="G6" s="9" t="s">
        <v>67</v>
      </c>
      <c r="H6" s="10" t="s">
        <v>68</v>
      </c>
      <c r="I6" s="50" t="s">
        <v>50</v>
      </c>
      <c r="J6" s="20" t="s">
        <v>62</v>
      </c>
      <c r="K6" s="12"/>
      <c r="L6" s="20"/>
      <c r="M6" s="20" t="s">
        <v>62</v>
      </c>
      <c r="N6" s="55"/>
      <c r="O6" s="56"/>
      <c r="P6" s="62"/>
      <c r="Q6" s="55"/>
      <c r="R6" s="55"/>
      <c r="S6" s="55"/>
      <c r="T6" s="55"/>
      <c r="U6" s="56"/>
      <c r="V6" s="62"/>
      <c r="W6" s="63"/>
      <c r="X6" s="41" t="s">
        <v>62</v>
      </c>
      <c r="Y6" s="21"/>
      <c r="Z6" s="26" t="s">
        <v>62</v>
      </c>
      <c r="AA6" s="40"/>
      <c r="AB6" s="17" t="s">
        <v>69</v>
      </c>
      <c r="AC6" s="184" t="s">
        <v>64</v>
      </c>
      <c r="AD6" s="183" t="s">
        <v>65</v>
      </c>
      <c r="AE6" s="185" t="s">
        <v>54</v>
      </c>
      <c r="AF6" s="86" t="s">
        <v>54</v>
      </c>
      <c r="AG6" s="180" t="s">
        <v>66</v>
      </c>
      <c r="AH6" s="70" t="s">
        <v>56</v>
      </c>
      <c r="AI6" s="9"/>
      <c r="AJ6" s="11"/>
      <c r="AK6" s="11"/>
      <c r="AL6" s="11"/>
      <c r="AM6" s="11"/>
      <c r="AN6" s="11"/>
      <c r="AO6" s="11"/>
      <c r="AP6" s="11"/>
      <c r="AQ6" s="11"/>
      <c r="AR6" s="11"/>
      <c r="AS6" s="11"/>
      <c r="AT6" s="11"/>
      <c r="AU6" s="11"/>
      <c r="AV6" s="11"/>
      <c r="AW6" s="11"/>
    </row>
    <row r="7" spans="1:49" ht="240" customHeight="1">
      <c r="A7" s="16" t="s">
        <v>42</v>
      </c>
      <c r="B7" s="16" t="s">
        <v>43</v>
      </c>
      <c r="C7" s="165" t="s">
        <v>57</v>
      </c>
      <c r="D7" s="167" t="s">
        <v>58</v>
      </c>
      <c r="E7" s="124" t="s">
        <v>46</v>
      </c>
      <c r="F7" s="163" t="s">
        <v>59</v>
      </c>
      <c r="G7" s="9" t="s">
        <v>70</v>
      </c>
      <c r="H7" s="10" t="s">
        <v>71</v>
      </c>
      <c r="I7" s="50" t="s">
        <v>50</v>
      </c>
      <c r="J7" s="20" t="s">
        <v>62</v>
      </c>
      <c r="K7" s="20"/>
      <c r="L7" s="20" t="s">
        <v>62</v>
      </c>
      <c r="M7" s="20"/>
      <c r="N7" s="55"/>
      <c r="O7" s="56"/>
      <c r="P7" s="62"/>
      <c r="Q7" s="55"/>
      <c r="R7" s="55"/>
      <c r="S7" s="55"/>
      <c r="T7" s="55"/>
      <c r="U7" s="56"/>
      <c r="V7" s="62"/>
      <c r="W7" s="63"/>
      <c r="X7" s="41" t="s">
        <v>62</v>
      </c>
      <c r="Y7" s="21"/>
      <c r="Z7" s="26" t="s">
        <v>62</v>
      </c>
      <c r="AA7" s="40"/>
      <c r="AB7" s="17" t="s">
        <v>72</v>
      </c>
      <c r="AC7" s="184" t="s">
        <v>64</v>
      </c>
      <c r="AD7" s="183" t="s">
        <v>65</v>
      </c>
      <c r="AE7" s="185" t="s">
        <v>54</v>
      </c>
      <c r="AF7" s="86" t="s">
        <v>54</v>
      </c>
      <c r="AG7" s="180" t="s">
        <v>66</v>
      </c>
      <c r="AH7" s="70" t="s">
        <v>56</v>
      </c>
      <c r="AI7" s="9"/>
      <c r="AJ7" s="11"/>
      <c r="AK7" s="11"/>
      <c r="AL7" s="11"/>
      <c r="AM7" s="11"/>
      <c r="AN7" s="11"/>
      <c r="AO7" s="11"/>
      <c r="AP7" s="11"/>
      <c r="AQ7" s="11"/>
      <c r="AR7" s="11"/>
      <c r="AS7" s="11"/>
      <c r="AT7" s="11"/>
      <c r="AU7" s="11"/>
      <c r="AV7" s="11"/>
      <c r="AW7" s="11"/>
    </row>
    <row r="8" spans="1:49" ht="207" customHeight="1">
      <c r="A8" s="16" t="s">
        <v>42</v>
      </c>
      <c r="B8" s="16" t="s">
        <v>43</v>
      </c>
      <c r="C8" s="88"/>
      <c r="D8" s="88"/>
      <c r="E8" s="102"/>
      <c r="F8" s="103"/>
      <c r="G8" s="109" t="s">
        <v>73</v>
      </c>
      <c r="H8" s="110" t="s">
        <v>61</v>
      </c>
      <c r="I8" s="111" t="s">
        <v>74</v>
      </c>
      <c r="J8" s="20" t="s">
        <v>62</v>
      </c>
      <c r="K8" s="12"/>
      <c r="L8" s="20"/>
      <c r="M8" s="20"/>
      <c r="N8" s="55"/>
      <c r="O8" s="56"/>
      <c r="P8" s="62"/>
      <c r="Q8" s="55"/>
      <c r="R8" s="55"/>
      <c r="S8" s="55"/>
      <c r="T8" s="55"/>
      <c r="U8" s="56"/>
      <c r="V8" s="62"/>
      <c r="W8" s="63"/>
      <c r="X8" s="41" t="s">
        <v>62</v>
      </c>
      <c r="Y8" s="21"/>
      <c r="Z8" s="26"/>
      <c r="AA8" s="40" t="s">
        <v>62</v>
      </c>
      <c r="AB8" s="17" t="s">
        <v>63</v>
      </c>
      <c r="AC8" s="29" t="s">
        <v>75</v>
      </c>
      <c r="AD8" s="187"/>
      <c r="AE8" s="162" t="s">
        <v>76</v>
      </c>
      <c r="AF8" s="162" t="s">
        <v>76</v>
      </c>
      <c r="AG8" s="161" t="s">
        <v>77</v>
      </c>
      <c r="AH8" s="70" t="s">
        <v>56</v>
      </c>
      <c r="AI8" s="9"/>
      <c r="AJ8" s="11"/>
      <c r="AK8" s="11"/>
      <c r="AL8" s="11"/>
      <c r="AM8" s="11"/>
      <c r="AN8" s="11"/>
      <c r="AO8" s="11"/>
      <c r="AP8" s="11"/>
      <c r="AQ8" s="11"/>
      <c r="AR8" s="11"/>
      <c r="AS8" s="11"/>
      <c r="AT8" s="11"/>
      <c r="AU8" s="11"/>
      <c r="AV8" s="11"/>
      <c r="AW8" s="11"/>
    </row>
    <row r="9" spans="1:49" ht="235.5" customHeight="1">
      <c r="A9" s="16" t="s">
        <v>42</v>
      </c>
      <c r="B9" s="16" t="s">
        <v>43</v>
      </c>
      <c r="C9" s="16"/>
      <c r="D9" s="16"/>
      <c r="E9" s="102"/>
      <c r="F9" s="103"/>
      <c r="G9" s="109" t="s">
        <v>78</v>
      </c>
      <c r="H9" s="110" t="s">
        <v>68</v>
      </c>
      <c r="I9" s="111" t="s">
        <v>74</v>
      </c>
      <c r="J9" s="20" t="s">
        <v>62</v>
      </c>
      <c r="K9" s="12"/>
      <c r="L9" s="20"/>
      <c r="M9" s="20" t="s">
        <v>62</v>
      </c>
      <c r="N9" s="55"/>
      <c r="O9" s="56"/>
      <c r="P9" s="62"/>
      <c r="Q9" s="55"/>
      <c r="R9" s="55"/>
      <c r="S9" s="55"/>
      <c r="T9" s="55"/>
      <c r="U9" s="56"/>
      <c r="V9" s="62"/>
      <c r="W9" s="63"/>
      <c r="X9" s="41" t="s">
        <v>62</v>
      </c>
      <c r="Y9" s="21"/>
      <c r="Z9" s="26"/>
      <c r="AA9" s="40" t="s">
        <v>62</v>
      </c>
      <c r="AB9" s="17" t="s">
        <v>69</v>
      </c>
      <c r="AC9" s="29" t="s">
        <v>75</v>
      </c>
      <c r="AD9" s="9"/>
      <c r="AE9" s="162" t="s">
        <v>76</v>
      </c>
      <c r="AF9" s="162" t="s">
        <v>76</v>
      </c>
      <c r="AG9" s="19" t="s">
        <v>79</v>
      </c>
      <c r="AH9" s="70" t="s">
        <v>56</v>
      </c>
      <c r="AI9" s="9"/>
      <c r="AJ9" s="11"/>
      <c r="AK9" s="11"/>
      <c r="AL9" s="11"/>
      <c r="AM9" s="11"/>
      <c r="AN9" s="11"/>
      <c r="AO9" s="11"/>
      <c r="AP9" s="11"/>
      <c r="AQ9" s="11"/>
      <c r="AR9" s="11"/>
      <c r="AS9" s="11"/>
      <c r="AT9" s="11"/>
      <c r="AU9" s="11"/>
      <c r="AV9" s="11"/>
      <c r="AW9" s="11"/>
    </row>
    <row r="10" spans="1:49" ht="238.5" customHeight="1">
      <c r="A10" s="16" t="s">
        <v>42</v>
      </c>
      <c r="B10" s="16" t="s">
        <v>43</v>
      </c>
      <c r="C10" s="72"/>
      <c r="D10" s="16"/>
      <c r="E10" s="176"/>
      <c r="F10" s="103"/>
      <c r="G10" s="109" t="s">
        <v>80</v>
      </c>
      <c r="H10" s="110" t="s">
        <v>71</v>
      </c>
      <c r="I10" s="111" t="s">
        <v>74</v>
      </c>
      <c r="J10" s="20" t="s">
        <v>62</v>
      </c>
      <c r="K10" s="20"/>
      <c r="L10" s="20" t="s">
        <v>62</v>
      </c>
      <c r="M10" s="20"/>
      <c r="N10" s="55"/>
      <c r="O10" s="56"/>
      <c r="P10" s="62"/>
      <c r="Q10" s="55"/>
      <c r="R10" s="55"/>
      <c r="S10" s="55"/>
      <c r="T10" s="55"/>
      <c r="U10" s="56"/>
      <c r="V10" s="62"/>
      <c r="W10" s="63"/>
      <c r="X10" s="41" t="s">
        <v>62</v>
      </c>
      <c r="Y10" s="21"/>
      <c r="Z10" s="26"/>
      <c r="AA10" s="40" t="s">
        <v>62</v>
      </c>
      <c r="AB10" s="17" t="s">
        <v>72</v>
      </c>
      <c r="AC10" s="29" t="s">
        <v>75</v>
      </c>
      <c r="AD10" s="9"/>
      <c r="AE10" s="162" t="s">
        <v>76</v>
      </c>
      <c r="AF10" s="162" t="s">
        <v>76</v>
      </c>
      <c r="AG10" s="19" t="s">
        <v>79</v>
      </c>
      <c r="AH10" s="70" t="s">
        <v>56</v>
      </c>
      <c r="AI10" s="9"/>
      <c r="AJ10" s="11"/>
      <c r="AK10" s="11"/>
      <c r="AL10" s="11"/>
      <c r="AM10" s="11"/>
      <c r="AN10" s="11"/>
      <c r="AO10" s="11"/>
      <c r="AP10" s="11"/>
      <c r="AQ10" s="11"/>
      <c r="AR10" s="11"/>
      <c r="AS10" s="11"/>
      <c r="AT10" s="11"/>
      <c r="AU10" s="11"/>
      <c r="AV10" s="11"/>
      <c r="AW10" s="11"/>
    </row>
    <row r="11" spans="1:49" ht="259.5" customHeight="1">
      <c r="A11" s="16" t="s">
        <v>42</v>
      </c>
      <c r="B11" s="16" t="s">
        <v>43</v>
      </c>
      <c r="C11" s="165" t="s">
        <v>57</v>
      </c>
      <c r="D11" s="178" t="s">
        <v>58</v>
      </c>
      <c r="E11" s="165" t="s">
        <v>46</v>
      </c>
      <c r="F11" s="175" t="s">
        <v>59</v>
      </c>
      <c r="G11" s="9" t="s">
        <v>81</v>
      </c>
      <c r="H11" s="10" t="s">
        <v>82</v>
      </c>
      <c r="I11" s="50" t="s">
        <v>50</v>
      </c>
      <c r="J11" s="20" t="s">
        <v>62</v>
      </c>
      <c r="K11" s="20" t="s">
        <v>62</v>
      </c>
      <c r="L11" s="12"/>
      <c r="M11" s="12"/>
      <c r="N11" s="55"/>
      <c r="O11" s="56"/>
      <c r="P11" s="62"/>
      <c r="Q11" s="55"/>
      <c r="R11" s="55"/>
      <c r="S11" s="55"/>
      <c r="T11" s="55"/>
      <c r="U11" s="56"/>
      <c r="V11" s="39" t="s">
        <v>62</v>
      </c>
      <c r="W11" s="40"/>
      <c r="X11" s="41" t="s">
        <v>62</v>
      </c>
      <c r="Y11" s="26" t="s">
        <v>62</v>
      </c>
      <c r="Z11" s="26" t="s">
        <v>62</v>
      </c>
      <c r="AA11" s="40"/>
      <c r="AB11" s="17" t="s">
        <v>83</v>
      </c>
      <c r="AC11" s="29" t="s">
        <v>84</v>
      </c>
      <c r="AD11" s="9" t="s">
        <v>85</v>
      </c>
      <c r="AE11" s="86" t="s">
        <v>54</v>
      </c>
      <c r="AF11" s="86" t="s">
        <v>54</v>
      </c>
      <c r="AG11" s="19" t="s">
        <v>86</v>
      </c>
      <c r="AH11" s="70" t="s">
        <v>56</v>
      </c>
      <c r="AI11" s="9"/>
      <c r="AJ11" s="11"/>
      <c r="AK11" s="11"/>
      <c r="AL11" s="11"/>
      <c r="AM11" s="11"/>
      <c r="AN11" s="11"/>
      <c r="AO11" s="11"/>
      <c r="AP11" s="11"/>
      <c r="AQ11" s="11"/>
      <c r="AR11" s="11"/>
      <c r="AS11" s="11"/>
      <c r="AT11" s="11"/>
      <c r="AU11" s="11"/>
      <c r="AV11" s="11"/>
      <c r="AW11" s="11"/>
    </row>
    <row r="12" spans="1:49" ht="135.75" customHeight="1">
      <c r="A12" s="16" t="s">
        <v>42</v>
      </c>
      <c r="B12" s="16" t="s">
        <v>43</v>
      </c>
      <c r="C12" s="179" t="s">
        <v>57</v>
      </c>
      <c r="D12" s="115" t="s">
        <v>58</v>
      </c>
      <c r="E12" s="181" t="s">
        <v>46</v>
      </c>
      <c r="F12" s="103" t="s">
        <v>59</v>
      </c>
      <c r="G12" s="104" t="s">
        <v>87</v>
      </c>
      <c r="H12" s="105" t="s">
        <v>82</v>
      </c>
      <c r="I12" s="106" t="s">
        <v>74</v>
      </c>
      <c r="J12" s="20" t="s">
        <v>62</v>
      </c>
      <c r="K12" s="20" t="s">
        <v>62</v>
      </c>
      <c r="L12" s="12"/>
      <c r="M12" s="12"/>
      <c r="N12" s="55"/>
      <c r="O12" s="56"/>
      <c r="P12" s="62"/>
      <c r="Q12" s="55"/>
      <c r="R12" s="55"/>
      <c r="S12" s="55"/>
      <c r="T12" s="55"/>
      <c r="U12" s="56"/>
      <c r="V12" s="39"/>
      <c r="W12" s="40" t="s">
        <v>62</v>
      </c>
      <c r="X12" s="41" t="s">
        <v>62</v>
      </c>
      <c r="Y12" s="21"/>
      <c r="Z12" s="26"/>
      <c r="AA12" s="40" t="s">
        <v>62</v>
      </c>
      <c r="AB12" s="17" t="s">
        <v>88</v>
      </c>
      <c r="AC12" s="29" t="s">
        <v>89</v>
      </c>
      <c r="AD12" s="114" t="s">
        <v>90</v>
      </c>
      <c r="AE12" s="86" t="s">
        <v>54</v>
      </c>
      <c r="AF12" s="86" t="s">
        <v>54</v>
      </c>
      <c r="AG12" s="19"/>
      <c r="AH12" s="70" t="s">
        <v>56</v>
      </c>
      <c r="AI12" s="9"/>
      <c r="AJ12" s="11"/>
      <c r="AK12" s="11"/>
      <c r="AL12" s="11"/>
      <c r="AM12" s="11"/>
      <c r="AN12" s="11"/>
      <c r="AO12" s="11"/>
      <c r="AP12" s="11"/>
      <c r="AQ12" s="11"/>
      <c r="AR12" s="11"/>
      <c r="AS12" s="11"/>
      <c r="AT12" s="11"/>
      <c r="AU12" s="11"/>
      <c r="AV12" s="11"/>
      <c r="AW12" s="11"/>
    </row>
    <row r="13" spans="1:49" ht="137.25" customHeight="1">
      <c r="A13" s="16" t="s">
        <v>42</v>
      </c>
      <c r="B13" s="16" t="s">
        <v>43</v>
      </c>
      <c r="C13" s="165" t="s">
        <v>57</v>
      </c>
      <c r="D13" s="178" t="s">
        <v>58</v>
      </c>
      <c r="E13" s="165" t="s">
        <v>46</v>
      </c>
      <c r="F13" s="175" t="s">
        <v>59</v>
      </c>
      <c r="G13" s="9" t="s">
        <v>91</v>
      </c>
      <c r="H13" s="10" t="s">
        <v>92</v>
      </c>
      <c r="I13" s="50" t="s">
        <v>74</v>
      </c>
      <c r="J13" s="20" t="s">
        <v>62</v>
      </c>
      <c r="K13" s="20" t="s">
        <v>62</v>
      </c>
      <c r="L13" s="20" t="s">
        <v>62</v>
      </c>
      <c r="M13" s="20" t="s">
        <v>62</v>
      </c>
      <c r="N13" s="55"/>
      <c r="O13" s="56"/>
      <c r="P13" s="62"/>
      <c r="Q13" s="55"/>
      <c r="R13" s="55"/>
      <c r="S13" s="55"/>
      <c r="T13" s="55"/>
      <c r="U13" s="56"/>
      <c r="V13" s="39"/>
      <c r="W13" s="40" t="s">
        <v>62</v>
      </c>
      <c r="X13" s="41" t="s">
        <v>62</v>
      </c>
      <c r="Y13" s="21"/>
      <c r="Z13" s="26" t="s">
        <v>62</v>
      </c>
      <c r="AA13" s="40"/>
      <c r="AB13" s="17" t="s">
        <v>93</v>
      </c>
      <c r="AC13" s="29" t="s">
        <v>89</v>
      </c>
      <c r="AD13" s="182" t="s">
        <v>65</v>
      </c>
      <c r="AE13" s="86" t="s">
        <v>54</v>
      </c>
      <c r="AF13" s="86" t="s">
        <v>54</v>
      </c>
      <c r="AG13" s="19" t="s">
        <v>94</v>
      </c>
      <c r="AH13" s="70" t="s">
        <v>56</v>
      </c>
      <c r="AI13" s="9"/>
      <c r="AJ13" s="11"/>
      <c r="AK13" s="11"/>
      <c r="AL13" s="11"/>
      <c r="AM13" s="11"/>
      <c r="AN13" s="11"/>
      <c r="AO13" s="11"/>
      <c r="AP13" s="11"/>
      <c r="AQ13" s="11"/>
      <c r="AR13" s="11"/>
      <c r="AS13" s="11"/>
      <c r="AT13" s="11"/>
      <c r="AU13" s="11"/>
      <c r="AV13" s="11"/>
      <c r="AW13" s="11"/>
    </row>
    <row r="14" spans="1:49" ht="184.5" customHeight="1">
      <c r="A14" s="16" t="s">
        <v>42</v>
      </c>
      <c r="B14" s="16" t="s">
        <v>43</v>
      </c>
      <c r="C14" s="179" t="s">
        <v>57</v>
      </c>
      <c r="D14" s="115" t="s">
        <v>58</v>
      </c>
      <c r="E14" s="177" t="s">
        <v>46</v>
      </c>
      <c r="F14" s="103" t="s">
        <v>59</v>
      </c>
      <c r="G14" s="104" t="s">
        <v>95</v>
      </c>
      <c r="H14" s="105" t="s">
        <v>92</v>
      </c>
      <c r="I14" s="106" t="s">
        <v>74</v>
      </c>
      <c r="J14" s="20" t="s">
        <v>62</v>
      </c>
      <c r="K14" s="20" t="s">
        <v>62</v>
      </c>
      <c r="L14" s="20" t="s">
        <v>62</v>
      </c>
      <c r="M14" s="20" t="s">
        <v>62</v>
      </c>
      <c r="N14" s="55"/>
      <c r="O14" s="56"/>
      <c r="P14" s="62"/>
      <c r="Q14" s="55"/>
      <c r="R14" s="55"/>
      <c r="S14" s="55"/>
      <c r="T14" s="55"/>
      <c r="U14" s="56"/>
      <c r="V14" s="39" t="s">
        <v>62</v>
      </c>
      <c r="W14" s="40"/>
      <c r="X14" s="41" t="s">
        <v>62</v>
      </c>
      <c r="Y14" s="26" t="s">
        <v>62</v>
      </c>
      <c r="Z14" s="26"/>
      <c r="AA14" s="40" t="s">
        <v>62</v>
      </c>
      <c r="AB14" s="17" t="s">
        <v>96</v>
      </c>
      <c r="AC14" s="29" t="s">
        <v>97</v>
      </c>
      <c r="AD14" s="114" t="s">
        <v>90</v>
      </c>
      <c r="AE14" s="86" t="s">
        <v>54</v>
      </c>
      <c r="AF14" s="86" t="s">
        <v>54</v>
      </c>
      <c r="AG14" s="19"/>
      <c r="AH14" s="70" t="s">
        <v>56</v>
      </c>
      <c r="AI14" s="9"/>
      <c r="AJ14" s="11"/>
      <c r="AK14" s="11"/>
      <c r="AL14" s="11"/>
      <c r="AM14" s="11"/>
      <c r="AN14" s="11"/>
      <c r="AO14" s="11"/>
      <c r="AP14" s="11"/>
      <c r="AQ14" s="11"/>
      <c r="AR14" s="11"/>
      <c r="AS14" s="11"/>
      <c r="AT14" s="11"/>
      <c r="AU14" s="11"/>
      <c r="AV14" s="11"/>
      <c r="AW14" s="11"/>
    </row>
    <row r="15" spans="1:49" ht="147.75" customHeight="1">
      <c r="A15" s="16" t="s">
        <v>42</v>
      </c>
      <c r="B15" s="16" t="s">
        <v>43</v>
      </c>
      <c r="C15" s="117" t="s">
        <v>57</v>
      </c>
      <c r="D15" s="115" t="s">
        <v>58</v>
      </c>
      <c r="E15" s="121" t="s">
        <v>46</v>
      </c>
      <c r="F15" s="103" t="s">
        <v>59</v>
      </c>
      <c r="G15" s="9" t="s">
        <v>98</v>
      </c>
      <c r="H15" s="10" t="s">
        <v>99</v>
      </c>
      <c r="I15" s="50" t="s">
        <v>50</v>
      </c>
      <c r="J15" s="55"/>
      <c r="K15" s="55"/>
      <c r="L15" s="55"/>
      <c r="M15" s="55"/>
      <c r="N15" s="55"/>
      <c r="O15" s="56"/>
      <c r="P15" s="47" t="s">
        <v>62</v>
      </c>
      <c r="Q15" s="55"/>
      <c r="R15" s="55"/>
      <c r="S15" s="55"/>
      <c r="T15" s="55"/>
      <c r="U15" s="56"/>
      <c r="V15" s="62"/>
      <c r="W15" s="63"/>
      <c r="X15" s="64"/>
      <c r="Y15" s="55"/>
      <c r="Z15" s="55"/>
      <c r="AA15" s="63"/>
      <c r="AB15" s="23" t="s">
        <v>100</v>
      </c>
      <c r="AC15" s="34" t="s">
        <v>101</v>
      </c>
      <c r="AD15" s="114" t="s">
        <v>90</v>
      </c>
      <c r="AE15" s="86" t="s">
        <v>54</v>
      </c>
      <c r="AF15" s="86" t="s">
        <v>54</v>
      </c>
      <c r="AG15" s="18" t="s">
        <v>102</v>
      </c>
      <c r="AH15" s="70" t="s">
        <v>56</v>
      </c>
      <c r="AI15" s="9"/>
      <c r="AJ15" s="11"/>
      <c r="AK15" s="11"/>
      <c r="AL15" s="11"/>
      <c r="AM15" s="11"/>
      <c r="AN15" s="11"/>
      <c r="AO15" s="11"/>
      <c r="AP15" s="11"/>
      <c r="AQ15" s="11"/>
      <c r="AR15" s="11"/>
      <c r="AS15" s="11"/>
      <c r="AT15" s="11"/>
      <c r="AU15" s="11"/>
      <c r="AV15" s="11"/>
      <c r="AW15" s="11"/>
    </row>
    <row r="16" spans="1:49" ht="78.75" customHeight="1">
      <c r="A16" s="16" t="s">
        <v>42</v>
      </c>
      <c r="B16" s="16" t="s">
        <v>43</v>
      </c>
      <c r="C16" s="119" t="s">
        <v>57</v>
      </c>
      <c r="D16" s="115" t="s">
        <v>58</v>
      </c>
      <c r="E16" s="124" t="s">
        <v>46</v>
      </c>
      <c r="F16" s="103" t="s">
        <v>59</v>
      </c>
      <c r="G16" s="104" t="s">
        <v>103</v>
      </c>
      <c r="H16" s="107" t="s">
        <v>104</v>
      </c>
      <c r="I16" s="108" t="s">
        <v>74</v>
      </c>
      <c r="J16" s="55"/>
      <c r="K16" s="55"/>
      <c r="L16" s="55"/>
      <c r="M16" s="55"/>
      <c r="N16" s="55"/>
      <c r="O16" s="56"/>
      <c r="P16" s="47" t="s">
        <v>62</v>
      </c>
      <c r="Q16" s="55"/>
      <c r="R16" s="55"/>
      <c r="S16" s="55"/>
      <c r="T16" s="55"/>
      <c r="U16" s="56"/>
      <c r="V16" s="62"/>
      <c r="W16" s="63"/>
      <c r="X16" s="64"/>
      <c r="Y16" s="55"/>
      <c r="Z16" s="55"/>
      <c r="AA16" s="63"/>
      <c r="AB16" s="23" t="s">
        <v>100</v>
      </c>
      <c r="AC16" s="33" t="s">
        <v>105</v>
      </c>
      <c r="AD16" s="114" t="s">
        <v>106</v>
      </c>
      <c r="AE16" s="86" t="s">
        <v>54</v>
      </c>
      <c r="AF16" s="86" t="s">
        <v>54</v>
      </c>
      <c r="AG16" s="19" t="s">
        <v>107</v>
      </c>
      <c r="AH16" s="70" t="s">
        <v>56</v>
      </c>
      <c r="AI16" s="9"/>
      <c r="AJ16" s="11"/>
      <c r="AK16" s="11"/>
      <c r="AL16" s="11"/>
      <c r="AM16" s="11"/>
      <c r="AN16" s="11"/>
      <c r="AO16" s="11"/>
      <c r="AP16" s="11"/>
      <c r="AQ16" s="11"/>
      <c r="AR16" s="11"/>
      <c r="AS16" s="11"/>
      <c r="AT16" s="11"/>
      <c r="AU16" s="11"/>
      <c r="AV16" s="11"/>
      <c r="AW16" s="11"/>
    </row>
    <row r="17" spans="1:49" ht="113.25" customHeight="1">
      <c r="A17" s="16" t="s">
        <v>42</v>
      </c>
      <c r="B17" s="16" t="s">
        <v>43</v>
      </c>
      <c r="C17" s="112" t="s">
        <v>44</v>
      </c>
      <c r="D17" s="120" t="s">
        <v>108</v>
      </c>
      <c r="E17" s="96" t="s">
        <v>46</v>
      </c>
      <c r="F17" s="94" t="s">
        <v>109</v>
      </c>
      <c r="G17" s="9" t="s">
        <v>110</v>
      </c>
      <c r="H17" s="10" t="s">
        <v>111</v>
      </c>
      <c r="I17" s="52" t="s">
        <v>50</v>
      </c>
      <c r="J17" s="55"/>
      <c r="K17" s="55"/>
      <c r="L17" s="55"/>
      <c r="M17" s="55"/>
      <c r="N17" s="20" t="s">
        <v>62</v>
      </c>
      <c r="O17" s="22"/>
      <c r="P17" s="47" t="s">
        <v>62</v>
      </c>
      <c r="Q17" s="20"/>
      <c r="R17" s="20"/>
      <c r="S17" s="20"/>
      <c r="T17" s="20"/>
      <c r="U17" s="22"/>
      <c r="V17" s="62"/>
      <c r="W17" s="63"/>
      <c r="X17" s="64"/>
      <c r="Y17" s="55"/>
      <c r="Z17" s="55"/>
      <c r="AA17" s="63"/>
      <c r="AB17" s="23" t="s">
        <v>112</v>
      </c>
      <c r="AC17" s="35" t="s">
        <v>113</v>
      </c>
      <c r="AD17" s="9" t="s">
        <v>53</v>
      </c>
      <c r="AE17" s="86" t="s">
        <v>54</v>
      </c>
      <c r="AF17" s="86" t="s">
        <v>54</v>
      </c>
      <c r="AG17" s="92" t="s">
        <v>114</v>
      </c>
      <c r="AH17" s="70" t="s">
        <v>56</v>
      </c>
      <c r="AI17" s="9"/>
      <c r="AJ17" s="13"/>
      <c r="AK17" s="13"/>
      <c r="AL17" s="13"/>
      <c r="AM17" s="13"/>
      <c r="AN17" s="13"/>
      <c r="AO17" s="13"/>
      <c r="AP17" s="13"/>
      <c r="AQ17" s="13"/>
      <c r="AR17" s="13"/>
      <c r="AS17" s="13"/>
      <c r="AT17" s="13"/>
      <c r="AU17" s="13"/>
      <c r="AV17" s="13"/>
      <c r="AW17" s="13"/>
    </row>
    <row r="18" spans="1:49" ht="66.75" customHeight="1">
      <c r="A18" s="16" t="s">
        <v>42</v>
      </c>
      <c r="B18" s="16" t="s">
        <v>43</v>
      </c>
      <c r="C18" s="96" t="s">
        <v>44</v>
      </c>
      <c r="D18" s="95" t="s">
        <v>108</v>
      </c>
      <c r="E18" s="96" t="s">
        <v>46</v>
      </c>
      <c r="F18" s="94" t="s">
        <v>109</v>
      </c>
      <c r="G18" s="9" t="s">
        <v>115</v>
      </c>
      <c r="H18" s="10" t="s">
        <v>116</v>
      </c>
      <c r="I18" s="53" t="s">
        <v>74</v>
      </c>
      <c r="J18" s="55"/>
      <c r="K18" s="55"/>
      <c r="L18" s="55"/>
      <c r="M18" s="55"/>
      <c r="N18" s="20"/>
      <c r="O18" s="22" t="s">
        <v>62</v>
      </c>
      <c r="P18" s="47" t="s">
        <v>62</v>
      </c>
      <c r="Q18" s="20"/>
      <c r="R18" s="20"/>
      <c r="S18" s="20"/>
      <c r="T18" s="20"/>
      <c r="U18" s="22"/>
      <c r="V18" s="62"/>
      <c r="W18" s="63"/>
      <c r="X18" s="64"/>
      <c r="Y18" s="55"/>
      <c r="Z18" s="55"/>
      <c r="AA18" s="63"/>
      <c r="AB18" s="23" t="s">
        <v>117</v>
      </c>
      <c r="AC18" s="28" t="s">
        <v>118</v>
      </c>
      <c r="AD18" s="9" t="s">
        <v>53</v>
      </c>
      <c r="AE18" s="86" t="s">
        <v>54</v>
      </c>
      <c r="AF18" s="86" t="s">
        <v>54</v>
      </c>
      <c r="AG18" s="92" t="s">
        <v>119</v>
      </c>
      <c r="AH18" s="70" t="s">
        <v>56</v>
      </c>
      <c r="AI18" s="9"/>
      <c r="AJ18" s="13"/>
      <c r="AK18" s="13"/>
      <c r="AL18" s="13"/>
      <c r="AM18" s="13"/>
      <c r="AN18" s="13"/>
      <c r="AO18" s="13"/>
      <c r="AP18" s="13"/>
      <c r="AQ18" s="13"/>
      <c r="AR18" s="13"/>
      <c r="AS18" s="13"/>
      <c r="AT18" s="13"/>
      <c r="AU18" s="13"/>
      <c r="AV18" s="13"/>
      <c r="AW18" s="13"/>
    </row>
    <row r="19" spans="1:49" ht="135.75" customHeight="1">
      <c r="A19" s="16" t="s">
        <v>42</v>
      </c>
      <c r="B19" s="16" t="s">
        <v>43</v>
      </c>
      <c r="C19" s="96" t="s">
        <v>44</v>
      </c>
      <c r="D19" s="97" t="s">
        <v>108</v>
      </c>
      <c r="E19" s="96" t="s">
        <v>46</v>
      </c>
      <c r="F19" s="94" t="s">
        <v>109</v>
      </c>
      <c r="G19" s="9" t="s">
        <v>120</v>
      </c>
      <c r="H19" s="10" t="s">
        <v>121</v>
      </c>
      <c r="I19" s="52" t="s">
        <v>50</v>
      </c>
      <c r="J19" s="55"/>
      <c r="K19" s="55"/>
      <c r="L19" s="55"/>
      <c r="M19" s="55"/>
      <c r="N19" s="20" t="s">
        <v>62</v>
      </c>
      <c r="O19" s="22"/>
      <c r="P19" s="47"/>
      <c r="Q19" s="20" t="s">
        <v>62</v>
      </c>
      <c r="R19" s="20"/>
      <c r="S19" s="20"/>
      <c r="T19" s="20"/>
      <c r="U19" s="22"/>
      <c r="V19" s="62"/>
      <c r="W19" s="63"/>
      <c r="X19" s="64"/>
      <c r="Y19" s="55"/>
      <c r="Z19" s="55"/>
      <c r="AA19" s="63"/>
      <c r="AB19" s="23" t="s">
        <v>122</v>
      </c>
      <c r="AC19" s="14" t="s">
        <v>123</v>
      </c>
      <c r="AD19" s="9" t="s">
        <v>53</v>
      </c>
      <c r="AE19" s="86" t="s">
        <v>54</v>
      </c>
      <c r="AF19" s="86" t="s">
        <v>54</v>
      </c>
      <c r="AG19" s="92" t="s">
        <v>124</v>
      </c>
      <c r="AH19" s="70" t="s">
        <v>56</v>
      </c>
      <c r="AI19" s="9"/>
      <c r="AJ19" s="13"/>
      <c r="AK19" s="13"/>
      <c r="AL19" s="13"/>
      <c r="AM19" s="13"/>
      <c r="AN19" s="13"/>
      <c r="AO19" s="13"/>
      <c r="AP19" s="13"/>
      <c r="AQ19" s="13"/>
      <c r="AR19" s="13"/>
      <c r="AS19" s="13"/>
      <c r="AT19" s="13"/>
      <c r="AU19" s="13"/>
      <c r="AV19" s="13"/>
      <c r="AW19" s="13"/>
    </row>
    <row r="20" spans="1:49" ht="75.75" customHeight="1">
      <c r="A20" s="16" t="s">
        <v>42</v>
      </c>
      <c r="B20" s="16" t="s">
        <v>43</v>
      </c>
      <c r="C20" s="96" t="s">
        <v>44</v>
      </c>
      <c r="D20" s="98" t="s">
        <v>108</v>
      </c>
      <c r="E20" s="96" t="s">
        <v>46</v>
      </c>
      <c r="F20" s="94" t="s">
        <v>109</v>
      </c>
      <c r="G20" s="9" t="s">
        <v>125</v>
      </c>
      <c r="H20" s="10" t="s">
        <v>126</v>
      </c>
      <c r="I20" s="53" t="s">
        <v>74</v>
      </c>
      <c r="J20" s="55"/>
      <c r="K20" s="55"/>
      <c r="L20" s="55"/>
      <c r="M20" s="55"/>
      <c r="N20" s="20"/>
      <c r="O20" s="22" t="s">
        <v>62</v>
      </c>
      <c r="P20" s="47"/>
      <c r="Q20" s="20" t="s">
        <v>62</v>
      </c>
      <c r="R20" s="20"/>
      <c r="S20" s="20"/>
      <c r="T20" s="20"/>
      <c r="U20" s="22"/>
      <c r="V20" s="62"/>
      <c r="W20" s="63"/>
      <c r="X20" s="64"/>
      <c r="Y20" s="55"/>
      <c r="Z20" s="55"/>
      <c r="AA20" s="63"/>
      <c r="AB20" s="23" t="s">
        <v>127</v>
      </c>
      <c r="AC20" s="28" t="s">
        <v>118</v>
      </c>
      <c r="AD20" s="9" t="s">
        <v>53</v>
      </c>
      <c r="AE20" s="86" t="s">
        <v>54</v>
      </c>
      <c r="AF20" s="86" t="s">
        <v>54</v>
      </c>
      <c r="AG20" s="92" t="s">
        <v>119</v>
      </c>
      <c r="AH20" s="70" t="s">
        <v>56</v>
      </c>
      <c r="AI20" s="9"/>
      <c r="AJ20" s="13"/>
      <c r="AK20" s="13"/>
      <c r="AL20" s="13"/>
      <c r="AM20" s="13"/>
      <c r="AN20" s="13"/>
      <c r="AO20" s="13"/>
      <c r="AP20" s="13"/>
      <c r="AQ20" s="13"/>
      <c r="AR20" s="13"/>
      <c r="AS20" s="13"/>
      <c r="AT20" s="13"/>
      <c r="AU20" s="13"/>
      <c r="AV20" s="13"/>
      <c r="AW20" s="13"/>
    </row>
    <row r="21" spans="1:49" ht="84.75" customHeight="1">
      <c r="A21" s="16" t="s">
        <v>42</v>
      </c>
      <c r="B21" s="16" t="s">
        <v>43</v>
      </c>
      <c r="C21" s="96" t="s">
        <v>44</v>
      </c>
      <c r="D21" s="98" t="s">
        <v>108</v>
      </c>
      <c r="E21" s="96" t="s">
        <v>46</v>
      </c>
      <c r="F21" s="94" t="s">
        <v>109</v>
      </c>
      <c r="G21" s="9" t="s">
        <v>128</v>
      </c>
      <c r="H21" s="10" t="s">
        <v>129</v>
      </c>
      <c r="I21" s="52" t="s">
        <v>50</v>
      </c>
      <c r="J21" s="55"/>
      <c r="K21" s="55"/>
      <c r="L21" s="55"/>
      <c r="M21" s="55"/>
      <c r="N21" s="20" t="s">
        <v>62</v>
      </c>
      <c r="O21" s="22"/>
      <c r="P21" s="47"/>
      <c r="Q21" s="20"/>
      <c r="R21" s="20" t="s">
        <v>62</v>
      </c>
      <c r="S21" s="20"/>
      <c r="T21" s="20"/>
      <c r="U21" s="22"/>
      <c r="V21" s="62"/>
      <c r="W21" s="63"/>
      <c r="X21" s="64"/>
      <c r="Y21" s="55"/>
      <c r="Z21" s="55"/>
      <c r="AA21" s="63"/>
      <c r="AB21" s="23" t="s">
        <v>130</v>
      </c>
      <c r="AC21" s="14" t="s">
        <v>131</v>
      </c>
      <c r="AD21" s="9" t="s">
        <v>53</v>
      </c>
      <c r="AE21" s="86" t="s">
        <v>54</v>
      </c>
      <c r="AF21" s="86" t="s">
        <v>54</v>
      </c>
      <c r="AG21" s="14" t="s">
        <v>132</v>
      </c>
      <c r="AH21" s="70" t="s">
        <v>56</v>
      </c>
      <c r="AI21" s="9"/>
      <c r="AJ21" s="13"/>
      <c r="AK21" s="13"/>
      <c r="AL21" s="13"/>
      <c r="AM21" s="13"/>
      <c r="AN21" s="13"/>
      <c r="AO21" s="13"/>
      <c r="AP21" s="13"/>
      <c r="AQ21" s="13"/>
      <c r="AR21" s="13"/>
      <c r="AS21" s="13"/>
      <c r="AT21" s="13"/>
      <c r="AU21" s="13"/>
      <c r="AV21" s="13"/>
      <c r="AW21" s="13"/>
    </row>
    <row r="22" spans="1:49" ht="90" customHeight="1">
      <c r="A22" s="16" t="s">
        <v>42</v>
      </c>
      <c r="B22" s="16" t="s">
        <v>43</v>
      </c>
      <c r="C22" s="89" t="s">
        <v>44</v>
      </c>
      <c r="D22" s="98" t="s">
        <v>108</v>
      </c>
      <c r="E22" s="89" t="s">
        <v>46</v>
      </c>
      <c r="F22" s="94" t="s">
        <v>109</v>
      </c>
      <c r="G22" s="9" t="s">
        <v>133</v>
      </c>
      <c r="H22" s="10" t="s">
        <v>134</v>
      </c>
      <c r="I22" s="53" t="s">
        <v>74</v>
      </c>
      <c r="J22" s="20" t="s">
        <v>62</v>
      </c>
      <c r="K22" s="55"/>
      <c r="L22" s="20"/>
      <c r="M22" s="20" t="s">
        <v>62</v>
      </c>
      <c r="N22" s="20"/>
      <c r="O22" s="22" t="s">
        <v>62</v>
      </c>
      <c r="P22" s="47"/>
      <c r="Q22" s="20"/>
      <c r="R22" s="20" t="s">
        <v>62</v>
      </c>
      <c r="S22" s="20"/>
      <c r="T22" s="20"/>
      <c r="U22" s="22"/>
      <c r="V22" s="62"/>
      <c r="W22" s="63"/>
      <c r="X22" s="64"/>
      <c r="Y22" s="55"/>
      <c r="Z22" s="55"/>
      <c r="AA22" s="63"/>
      <c r="AB22" s="23" t="s">
        <v>135</v>
      </c>
      <c r="AC22" s="28" t="s">
        <v>118</v>
      </c>
      <c r="AD22" s="9" t="s">
        <v>53</v>
      </c>
      <c r="AE22" s="86" t="s">
        <v>54</v>
      </c>
      <c r="AF22" s="86" t="s">
        <v>54</v>
      </c>
      <c r="AG22" s="14" t="s">
        <v>119</v>
      </c>
      <c r="AH22" s="70" t="s">
        <v>56</v>
      </c>
      <c r="AI22" s="9"/>
      <c r="AJ22" s="93" t="s">
        <v>136</v>
      </c>
      <c r="AK22" s="13"/>
      <c r="AL22" s="13"/>
      <c r="AM22" s="13"/>
      <c r="AN22" s="13"/>
      <c r="AO22" s="13"/>
      <c r="AP22" s="13"/>
      <c r="AQ22" s="13"/>
      <c r="AR22" s="13"/>
      <c r="AS22" s="13"/>
      <c r="AT22" s="13"/>
      <c r="AU22" s="13"/>
      <c r="AV22" s="13"/>
      <c r="AW22" s="13"/>
    </row>
    <row r="23" spans="1:49" ht="57" customHeight="1">
      <c r="A23" s="16" t="s">
        <v>42</v>
      </c>
      <c r="B23" s="16" t="s">
        <v>43</v>
      </c>
      <c r="C23" s="99"/>
      <c r="D23" s="16"/>
      <c r="E23" s="102"/>
      <c r="F23" s="103"/>
      <c r="G23" s="9" t="s">
        <v>137</v>
      </c>
      <c r="H23" s="91" t="s">
        <v>138</v>
      </c>
      <c r="I23" s="52" t="s">
        <v>50</v>
      </c>
      <c r="J23" s="20" t="s">
        <v>62</v>
      </c>
      <c r="K23" s="55"/>
      <c r="L23" s="20" t="s">
        <v>62</v>
      </c>
      <c r="M23" s="20" t="s">
        <v>62</v>
      </c>
      <c r="N23" s="20" t="s">
        <v>62</v>
      </c>
      <c r="O23" s="22"/>
      <c r="P23" s="47"/>
      <c r="Q23" s="20"/>
      <c r="R23" s="20"/>
      <c r="S23" s="20" t="s">
        <v>62</v>
      </c>
      <c r="T23" s="20"/>
      <c r="U23" s="22"/>
      <c r="V23" s="62"/>
      <c r="W23" s="63"/>
      <c r="X23" s="64"/>
      <c r="Y23" s="55"/>
      <c r="Z23" s="55"/>
      <c r="AA23" s="63"/>
      <c r="AB23" s="23" t="s">
        <v>139</v>
      </c>
      <c r="AC23" s="14" t="s">
        <v>131</v>
      </c>
      <c r="AD23" s="9" t="s">
        <v>53</v>
      </c>
      <c r="AE23" s="162" t="s">
        <v>76</v>
      </c>
      <c r="AF23" s="162" t="s">
        <v>76</v>
      </c>
      <c r="AG23" s="14" t="s">
        <v>140</v>
      </c>
      <c r="AH23" s="70" t="s">
        <v>56</v>
      </c>
      <c r="AI23" s="9"/>
      <c r="AJ23" s="13"/>
      <c r="AK23" s="13"/>
      <c r="AL23" s="13"/>
      <c r="AM23" s="13"/>
      <c r="AN23" s="13"/>
      <c r="AO23" s="13"/>
      <c r="AP23" s="13"/>
      <c r="AQ23" s="13"/>
      <c r="AR23" s="13"/>
      <c r="AS23" s="13"/>
      <c r="AT23" s="13"/>
      <c r="AU23" s="13"/>
      <c r="AV23" s="13"/>
      <c r="AW23" s="13"/>
    </row>
    <row r="24" spans="1:49" ht="87" customHeight="1">
      <c r="A24" s="16" t="s">
        <v>42</v>
      </c>
      <c r="B24" s="16" t="s">
        <v>43</v>
      </c>
      <c r="C24" s="89" t="s">
        <v>44</v>
      </c>
      <c r="D24" s="98" t="s">
        <v>108</v>
      </c>
      <c r="E24" s="89" t="s">
        <v>46</v>
      </c>
      <c r="F24" s="94" t="s">
        <v>109</v>
      </c>
      <c r="G24" s="9" t="s">
        <v>141</v>
      </c>
      <c r="H24" s="10" t="s">
        <v>142</v>
      </c>
      <c r="I24" s="53" t="s">
        <v>74</v>
      </c>
      <c r="J24" s="20" t="s">
        <v>62</v>
      </c>
      <c r="K24" s="55"/>
      <c r="L24" s="20" t="s">
        <v>62</v>
      </c>
      <c r="M24" s="20" t="s">
        <v>62</v>
      </c>
      <c r="N24" s="20"/>
      <c r="O24" s="22" t="s">
        <v>62</v>
      </c>
      <c r="P24" s="47"/>
      <c r="Q24" s="20"/>
      <c r="R24" s="20"/>
      <c r="S24" s="20" t="s">
        <v>62</v>
      </c>
      <c r="T24" s="20"/>
      <c r="U24" s="22"/>
      <c r="V24" s="62"/>
      <c r="W24" s="63"/>
      <c r="X24" s="64"/>
      <c r="Y24" s="55"/>
      <c r="Z24" s="55"/>
      <c r="AA24" s="63"/>
      <c r="AB24" s="23" t="s">
        <v>143</v>
      </c>
      <c r="AC24" s="28" t="s">
        <v>144</v>
      </c>
      <c r="AD24" s="9" t="s">
        <v>53</v>
      </c>
      <c r="AE24" s="86" t="s">
        <v>54</v>
      </c>
      <c r="AF24" s="86" t="s">
        <v>54</v>
      </c>
      <c r="AG24" s="14" t="s">
        <v>145</v>
      </c>
      <c r="AH24" s="70" t="s">
        <v>56</v>
      </c>
      <c r="AI24" s="9"/>
      <c r="AJ24" s="13"/>
      <c r="AK24" s="13"/>
      <c r="AL24" s="13"/>
      <c r="AM24" s="13"/>
      <c r="AN24" s="13"/>
      <c r="AO24" s="13"/>
      <c r="AP24" s="13"/>
      <c r="AQ24" s="13"/>
      <c r="AR24" s="13"/>
      <c r="AS24" s="13"/>
      <c r="AT24" s="13"/>
      <c r="AU24" s="13"/>
      <c r="AV24" s="13"/>
      <c r="AW24" s="13"/>
    </row>
    <row r="25" spans="1:49" ht="70.5" customHeight="1">
      <c r="A25" s="16" t="s">
        <v>42</v>
      </c>
      <c r="B25" s="16" t="s">
        <v>43</v>
      </c>
      <c r="C25" s="99"/>
      <c r="D25" s="16"/>
      <c r="E25" s="102"/>
      <c r="F25" s="103"/>
      <c r="G25" s="9" t="s">
        <v>146</v>
      </c>
      <c r="H25" s="91" t="s">
        <v>147</v>
      </c>
      <c r="I25" s="52" t="s">
        <v>50</v>
      </c>
      <c r="J25" s="20" t="s">
        <v>62</v>
      </c>
      <c r="K25" s="55"/>
      <c r="L25" s="20" t="s">
        <v>62</v>
      </c>
      <c r="M25" s="20" t="s">
        <v>62</v>
      </c>
      <c r="N25" s="20" t="s">
        <v>62</v>
      </c>
      <c r="O25" s="22"/>
      <c r="P25" s="47"/>
      <c r="Q25" s="20"/>
      <c r="R25" s="20"/>
      <c r="S25" s="20"/>
      <c r="T25" s="20" t="s">
        <v>62</v>
      </c>
      <c r="U25" s="22"/>
      <c r="V25" s="62"/>
      <c r="W25" s="63"/>
      <c r="X25" s="64"/>
      <c r="Y25" s="55"/>
      <c r="Z25" s="55"/>
      <c r="AA25" s="63"/>
      <c r="AB25" s="23" t="s">
        <v>148</v>
      </c>
      <c r="AC25" s="14" t="s">
        <v>149</v>
      </c>
      <c r="AD25" s="9" t="s">
        <v>53</v>
      </c>
      <c r="AE25" s="162" t="s">
        <v>76</v>
      </c>
      <c r="AF25" s="162" t="s">
        <v>76</v>
      </c>
      <c r="AG25" s="14" t="s">
        <v>150</v>
      </c>
      <c r="AH25" s="70" t="s">
        <v>56</v>
      </c>
      <c r="AI25" s="9"/>
      <c r="AJ25" s="13"/>
      <c r="AK25" s="13"/>
      <c r="AL25" s="13"/>
      <c r="AM25" s="13"/>
      <c r="AN25" s="13"/>
      <c r="AO25" s="13"/>
      <c r="AP25" s="13"/>
      <c r="AQ25" s="13"/>
      <c r="AR25" s="13"/>
      <c r="AS25" s="13"/>
      <c r="AT25" s="13"/>
      <c r="AU25" s="13"/>
      <c r="AV25" s="13"/>
      <c r="AW25" s="13"/>
    </row>
    <row r="26" spans="1:49" ht="105" customHeight="1">
      <c r="A26" s="16" t="s">
        <v>42</v>
      </c>
      <c r="B26" s="16" t="s">
        <v>43</v>
      </c>
      <c r="C26" s="101" t="s">
        <v>44</v>
      </c>
      <c r="D26" s="98" t="s">
        <v>151</v>
      </c>
      <c r="E26" s="100" t="s">
        <v>46</v>
      </c>
      <c r="F26" s="94" t="s">
        <v>109</v>
      </c>
      <c r="G26" s="9" t="s">
        <v>152</v>
      </c>
      <c r="H26" s="10" t="s">
        <v>153</v>
      </c>
      <c r="I26" s="53" t="s">
        <v>74</v>
      </c>
      <c r="J26" s="20" t="s">
        <v>62</v>
      </c>
      <c r="K26" s="55"/>
      <c r="L26" s="20" t="s">
        <v>62</v>
      </c>
      <c r="M26" s="20" t="s">
        <v>62</v>
      </c>
      <c r="N26" s="20"/>
      <c r="O26" s="22" t="s">
        <v>62</v>
      </c>
      <c r="P26" s="47"/>
      <c r="Q26" s="20"/>
      <c r="R26" s="20"/>
      <c r="S26" s="20"/>
      <c r="T26" s="20" t="s">
        <v>62</v>
      </c>
      <c r="U26" s="22"/>
      <c r="V26" s="62"/>
      <c r="W26" s="63"/>
      <c r="X26" s="64"/>
      <c r="Y26" s="55"/>
      <c r="Z26" s="55"/>
      <c r="AA26" s="63"/>
      <c r="AB26" s="23" t="s">
        <v>154</v>
      </c>
      <c r="AC26" s="28" t="s">
        <v>118</v>
      </c>
      <c r="AD26" s="9" t="s">
        <v>53</v>
      </c>
      <c r="AE26" s="86" t="s">
        <v>54</v>
      </c>
      <c r="AF26" s="86" t="s">
        <v>54</v>
      </c>
      <c r="AG26" s="14" t="s">
        <v>155</v>
      </c>
      <c r="AH26" s="70" t="s">
        <v>56</v>
      </c>
      <c r="AI26" s="9"/>
      <c r="AJ26" s="13"/>
      <c r="AK26" s="13"/>
      <c r="AL26" s="13"/>
      <c r="AM26" s="13"/>
      <c r="AN26" s="13"/>
      <c r="AO26" s="13"/>
      <c r="AP26" s="13"/>
      <c r="AQ26" s="13"/>
      <c r="AR26" s="13"/>
      <c r="AS26" s="13"/>
      <c r="AT26" s="13"/>
      <c r="AU26" s="13"/>
      <c r="AV26" s="13"/>
      <c r="AW26" s="13"/>
    </row>
    <row r="27" spans="1:49" ht="125.25" customHeight="1">
      <c r="A27" s="16" t="s">
        <v>42</v>
      </c>
      <c r="B27" s="16" t="s">
        <v>43</v>
      </c>
      <c r="C27" s="100" t="s">
        <v>44</v>
      </c>
      <c r="D27" s="98" t="s">
        <v>151</v>
      </c>
      <c r="E27" s="100" t="s">
        <v>46</v>
      </c>
      <c r="F27" s="94" t="s">
        <v>109</v>
      </c>
      <c r="G27" s="9" t="s">
        <v>156</v>
      </c>
      <c r="H27" s="67" t="s">
        <v>157</v>
      </c>
      <c r="I27" s="52" t="s">
        <v>50</v>
      </c>
      <c r="J27" s="20" t="s">
        <v>62</v>
      </c>
      <c r="K27" s="55"/>
      <c r="L27" s="20" t="s">
        <v>62</v>
      </c>
      <c r="M27" s="20" t="s">
        <v>62</v>
      </c>
      <c r="N27" s="20" t="s">
        <v>62</v>
      </c>
      <c r="O27" s="22"/>
      <c r="P27" s="47"/>
      <c r="Q27" s="20"/>
      <c r="R27" s="20"/>
      <c r="S27" s="20"/>
      <c r="T27" s="20"/>
      <c r="U27" s="22" t="s">
        <v>62</v>
      </c>
      <c r="V27" s="62"/>
      <c r="W27" s="63"/>
      <c r="X27" s="64"/>
      <c r="Y27" s="55"/>
      <c r="Z27" s="55"/>
      <c r="AA27" s="63"/>
      <c r="AB27" s="23" t="s">
        <v>158</v>
      </c>
      <c r="AC27" s="67" t="s">
        <v>131</v>
      </c>
      <c r="AD27" s="9" t="s">
        <v>53</v>
      </c>
      <c r="AE27" s="86" t="s">
        <v>54</v>
      </c>
      <c r="AF27" s="86" t="s">
        <v>54</v>
      </c>
      <c r="AG27" s="14" t="s">
        <v>159</v>
      </c>
      <c r="AH27" s="70" t="s">
        <v>56</v>
      </c>
      <c r="AI27" s="9"/>
      <c r="AJ27" s="13"/>
      <c r="AK27" s="13"/>
      <c r="AL27" s="13"/>
      <c r="AM27" s="13"/>
      <c r="AN27" s="13"/>
      <c r="AO27" s="13"/>
      <c r="AP27" s="13"/>
      <c r="AQ27" s="13"/>
      <c r="AR27" s="13"/>
      <c r="AS27" s="13"/>
      <c r="AT27" s="13"/>
      <c r="AU27" s="13"/>
      <c r="AV27" s="13"/>
      <c r="AW27" s="13"/>
    </row>
    <row r="28" spans="1:49" ht="64.5" customHeight="1">
      <c r="A28" s="16" t="s">
        <v>42</v>
      </c>
      <c r="B28" s="16" t="s">
        <v>43</v>
      </c>
      <c r="C28" s="99"/>
      <c r="D28" s="72"/>
      <c r="E28" s="102"/>
      <c r="F28" s="103"/>
      <c r="G28" s="68" t="s">
        <v>160</v>
      </c>
      <c r="H28" s="10" t="s">
        <v>161</v>
      </c>
      <c r="I28" s="53" t="s">
        <v>74</v>
      </c>
      <c r="J28" s="20" t="s">
        <v>62</v>
      </c>
      <c r="K28" s="55"/>
      <c r="L28" s="20" t="s">
        <v>62</v>
      </c>
      <c r="M28" s="20" t="s">
        <v>62</v>
      </c>
      <c r="N28" s="20"/>
      <c r="O28" s="22" t="s">
        <v>62</v>
      </c>
      <c r="P28" s="47"/>
      <c r="Q28" s="20"/>
      <c r="R28" s="20"/>
      <c r="S28" s="20"/>
      <c r="T28" s="20"/>
      <c r="U28" s="22" t="s">
        <v>62</v>
      </c>
      <c r="V28" s="62"/>
      <c r="W28" s="63"/>
      <c r="X28" s="64"/>
      <c r="Y28" s="55"/>
      <c r="Z28" s="55"/>
      <c r="AA28" s="63"/>
      <c r="AB28" s="65" t="s">
        <v>162</v>
      </c>
      <c r="AC28" s="29" t="s">
        <v>118</v>
      </c>
      <c r="AD28" s="9" t="s">
        <v>53</v>
      </c>
      <c r="AE28" s="162" t="s">
        <v>76</v>
      </c>
      <c r="AF28" s="162" t="s">
        <v>76</v>
      </c>
      <c r="AG28" s="14" t="s">
        <v>163</v>
      </c>
      <c r="AH28" s="70" t="s">
        <v>56</v>
      </c>
      <c r="AI28" s="9"/>
      <c r="AJ28" s="13"/>
      <c r="AK28" s="13"/>
      <c r="AL28" s="13"/>
      <c r="AM28" s="13"/>
      <c r="AN28" s="13"/>
      <c r="AO28" s="13"/>
      <c r="AP28" s="13"/>
      <c r="AQ28" s="13"/>
      <c r="AR28" s="13"/>
      <c r="AS28" s="13"/>
      <c r="AT28" s="13"/>
      <c r="AU28" s="13"/>
      <c r="AV28" s="13"/>
      <c r="AW28" s="13"/>
    </row>
    <row r="29" spans="1:49" ht="104.25" customHeight="1">
      <c r="A29" s="16" t="s">
        <v>42</v>
      </c>
      <c r="B29" s="16" t="s">
        <v>43</v>
      </c>
      <c r="C29" s="116" t="s">
        <v>57</v>
      </c>
      <c r="D29" s="115" t="s">
        <v>58</v>
      </c>
      <c r="E29" s="121" t="s">
        <v>46</v>
      </c>
      <c r="F29" s="103" t="s">
        <v>59</v>
      </c>
      <c r="G29" s="68" t="s">
        <v>164</v>
      </c>
      <c r="H29" s="10" t="s">
        <v>165</v>
      </c>
      <c r="I29" s="50" t="s">
        <v>50</v>
      </c>
      <c r="J29" s="55"/>
      <c r="K29" s="55"/>
      <c r="L29" s="55"/>
      <c r="M29" s="55"/>
      <c r="N29" s="55"/>
      <c r="O29" s="56"/>
      <c r="P29" s="62"/>
      <c r="Q29" s="55"/>
      <c r="R29" s="55"/>
      <c r="S29" s="55"/>
      <c r="T29" s="55"/>
      <c r="U29" s="56"/>
      <c r="V29" s="62"/>
      <c r="W29" s="63"/>
      <c r="X29" s="64"/>
      <c r="Y29" s="55"/>
      <c r="Z29" s="55"/>
      <c r="AA29" s="63"/>
      <c r="AB29" s="66" t="s">
        <v>166</v>
      </c>
      <c r="AC29" s="19" t="s">
        <v>167</v>
      </c>
      <c r="AD29" s="114" t="s">
        <v>90</v>
      </c>
      <c r="AE29" s="86" t="s">
        <v>54</v>
      </c>
      <c r="AF29" s="86" t="s">
        <v>54</v>
      </c>
      <c r="AG29" s="19" t="s">
        <v>168</v>
      </c>
      <c r="AH29" s="70" t="s">
        <v>56</v>
      </c>
      <c r="AI29" s="9"/>
      <c r="AJ29" s="11"/>
      <c r="AK29" s="11"/>
      <c r="AL29" s="11"/>
      <c r="AM29" s="11"/>
      <c r="AN29" s="11"/>
      <c r="AO29" s="11"/>
      <c r="AP29" s="11"/>
      <c r="AQ29" s="11"/>
      <c r="AR29" s="11"/>
      <c r="AS29" s="11"/>
      <c r="AT29" s="11"/>
      <c r="AU29" s="11"/>
      <c r="AV29" s="11"/>
      <c r="AW29" s="11"/>
    </row>
    <row r="30" spans="1:49" ht="49.5" customHeight="1">
      <c r="A30" s="16" t="s">
        <v>42</v>
      </c>
      <c r="B30" s="16" t="s">
        <v>43</v>
      </c>
      <c r="C30" s="116" t="s">
        <v>57</v>
      </c>
      <c r="D30" s="118" t="s">
        <v>58</v>
      </c>
      <c r="E30" s="121" t="s">
        <v>46</v>
      </c>
      <c r="F30" s="103" t="s">
        <v>59</v>
      </c>
      <c r="G30" s="68" t="s">
        <v>169</v>
      </c>
      <c r="H30" s="10" t="s">
        <v>170</v>
      </c>
      <c r="I30" s="50" t="s">
        <v>50</v>
      </c>
      <c r="J30" s="55"/>
      <c r="K30" s="55"/>
      <c r="L30" s="55"/>
      <c r="M30" s="55"/>
      <c r="N30" s="55"/>
      <c r="O30" s="56"/>
      <c r="P30" s="62"/>
      <c r="Q30" s="55"/>
      <c r="R30" s="55"/>
      <c r="S30" s="55"/>
      <c r="T30" s="55"/>
      <c r="U30" s="56"/>
      <c r="V30" s="62"/>
      <c r="W30" s="63"/>
      <c r="X30" s="64"/>
      <c r="Y30" s="55"/>
      <c r="Z30" s="55"/>
      <c r="AA30" s="63"/>
      <c r="AB30" s="66" t="s">
        <v>171</v>
      </c>
      <c r="AC30" s="19" t="s">
        <v>172</v>
      </c>
      <c r="AD30" s="114" t="s">
        <v>90</v>
      </c>
      <c r="AE30" s="86" t="s">
        <v>54</v>
      </c>
      <c r="AF30" s="86" t="s">
        <v>54</v>
      </c>
      <c r="AG30" s="19"/>
      <c r="AH30" s="70" t="s">
        <v>56</v>
      </c>
      <c r="AI30" s="9"/>
      <c r="AJ30" s="11"/>
      <c r="AK30" s="11"/>
      <c r="AL30" s="11"/>
      <c r="AM30" s="11"/>
      <c r="AN30" s="11"/>
      <c r="AO30" s="11"/>
      <c r="AP30" s="11"/>
      <c r="AQ30" s="11"/>
      <c r="AR30" s="11"/>
      <c r="AS30" s="11"/>
      <c r="AT30" s="11"/>
      <c r="AU30" s="11"/>
      <c r="AV30" s="11"/>
      <c r="AW30" s="11"/>
    </row>
    <row r="31" spans="1:49" ht="54" customHeight="1">
      <c r="A31" s="16" t="s">
        <v>42</v>
      </c>
      <c r="B31" s="16" t="s">
        <v>43</v>
      </c>
      <c r="C31" s="116" t="s">
        <v>57</v>
      </c>
      <c r="D31" s="115" t="s">
        <v>58</v>
      </c>
      <c r="E31" s="121" t="s">
        <v>46</v>
      </c>
      <c r="F31" s="103" t="s">
        <v>59</v>
      </c>
      <c r="G31" s="68" t="s">
        <v>173</v>
      </c>
      <c r="H31" s="10" t="s">
        <v>174</v>
      </c>
      <c r="I31" s="50" t="s">
        <v>50</v>
      </c>
      <c r="J31" s="55"/>
      <c r="K31" s="55"/>
      <c r="L31" s="55"/>
      <c r="M31" s="55"/>
      <c r="N31" s="55"/>
      <c r="O31" s="56"/>
      <c r="P31" s="62"/>
      <c r="Q31" s="55"/>
      <c r="R31" s="55"/>
      <c r="S31" s="55"/>
      <c r="T31" s="55"/>
      <c r="U31" s="56"/>
      <c r="V31" s="62"/>
      <c r="W31" s="63"/>
      <c r="X31" s="64"/>
      <c r="Y31" s="55"/>
      <c r="Z31" s="55"/>
      <c r="AA31" s="63"/>
      <c r="AB31" s="66" t="s">
        <v>175</v>
      </c>
      <c r="AC31" s="19" t="s">
        <v>176</v>
      </c>
      <c r="AD31" s="114" t="s">
        <v>90</v>
      </c>
      <c r="AE31" s="86" t="s">
        <v>54</v>
      </c>
      <c r="AF31" s="86" t="s">
        <v>54</v>
      </c>
      <c r="AG31" s="19"/>
      <c r="AH31" s="70" t="s">
        <v>56</v>
      </c>
      <c r="AI31" s="9"/>
      <c r="AJ31" s="11"/>
      <c r="AK31" s="11"/>
      <c r="AL31" s="11"/>
      <c r="AM31" s="11"/>
      <c r="AN31" s="11"/>
      <c r="AO31" s="11"/>
      <c r="AP31" s="11"/>
      <c r="AQ31" s="11"/>
      <c r="AR31" s="11"/>
      <c r="AS31" s="11"/>
      <c r="AT31" s="11"/>
      <c r="AU31" s="11"/>
      <c r="AV31" s="11"/>
      <c r="AW31" s="11"/>
    </row>
    <row r="32" spans="1:49" ht="66" customHeight="1">
      <c r="A32" s="16" t="s">
        <v>42</v>
      </c>
      <c r="B32" s="16" t="s">
        <v>43</v>
      </c>
      <c r="C32" s="116" t="s">
        <v>57</v>
      </c>
      <c r="D32" s="115" t="s">
        <v>58</v>
      </c>
      <c r="E32" s="121" t="s">
        <v>46</v>
      </c>
      <c r="F32" s="103" t="s">
        <v>59</v>
      </c>
      <c r="G32" s="68" t="s">
        <v>177</v>
      </c>
      <c r="H32" s="10" t="s">
        <v>178</v>
      </c>
      <c r="I32" s="50" t="s">
        <v>50</v>
      </c>
      <c r="J32" s="55"/>
      <c r="K32" s="55"/>
      <c r="L32" s="55"/>
      <c r="M32" s="55"/>
      <c r="N32" s="55"/>
      <c r="O32" s="56"/>
      <c r="P32" s="62"/>
      <c r="Q32" s="55"/>
      <c r="R32" s="55"/>
      <c r="S32" s="55"/>
      <c r="T32" s="55"/>
      <c r="U32" s="56"/>
      <c r="V32" s="62"/>
      <c r="W32" s="63"/>
      <c r="X32" s="64"/>
      <c r="Y32" s="55"/>
      <c r="Z32" s="55"/>
      <c r="AA32" s="63"/>
      <c r="AB32" s="66" t="s">
        <v>179</v>
      </c>
      <c r="AC32" s="19" t="s">
        <v>180</v>
      </c>
      <c r="AD32" s="114" t="s">
        <v>90</v>
      </c>
      <c r="AE32" s="86" t="s">
        <v>54</v>
      </c>
      <c r="AF32" s="86" t="s">
        <v>54</v>
      </c>
      <c r="AG32" s="19"/>
      <c r="AH32" s="70" t="s">
        <v>56</v>
      </c>
      <c r="AI32" s="9"/>
      <c r="AJ32" s="11"/>
      <c r="AK32" s="11"/>
      <c r="AL32" s="11"/>
      <c r="AM32" s="11"/>
      <c r="AN32" s="11"/>
      <c r="AO32" s="11"/>
      <c r="AP32" s="11"/>
      <c r="AQ32" s="11"/>
      <c r="AR32" s="11"/>
      <c r="AS32" s="11"/>
      <c r="AT32" s="11"/>
      <c r="AU32" s="11"/>
      <c r="AV32" s="11"/>
      <c r="AW32" s="11"/>
    </row>
    <row r="33" spans="1:49" ht="65.25" customHeight="1">
      <c r="A33" s="16" t="s">
        <v>42</v>
      </c>
      <c r="B33" s="16" t="s">
        <v>43</v>
      </c>
      <c r="C33" s="116" t="s">
        <v>57</v>
      </c>
      <c r="D33" s="115" t="s">
        <v>58</v>
      </c>
      <c r="E33" s="121" t="s">
        <v>46</v>
      </c>
      <c r="F33" s="103" t="s">
        <v>59</v>
      </c>
      <c r="G33" s="68" t="s">
        <v>181</v>
      </c>
      <c r="H33" s="10" t="s">
        <v>182</v>
      </c>
      <c r="I33" s="50" t="s">
        <v>50</v>
      </c>
      <c r="J33" s="55"/>
      <c r="K33" s="55"/>
      <c r="L33" s="55"/>
      <c r="M33" s="55"/>
      <c r="N33" s="55"/>
      <c r="O33" s="56"/>
      <c r="P33" s="62"/>
      <c r="Q33" s="55"/>
      <c r="R33" s="55"/>
      <c r="S33" s="55"/>
      <c r="T33" s="55"/>
      <c r="U33" s="56"/>
      <c r="V33" s="62"/>
      <c r="W33" s="63"/>
      <c r="X33" s="64"/>
      <c r="Y33" s="55"/>
      <c r="Z33" s="55"/>
      <c r="AA33" s="63"/>
      <c r="AB33" s="66" t="s">
        <v>183</v>
      </c>
      <c r="AC33" s="19" t="s">
        <v>184</v>
      </c>
      <c r="AD33" s="114" t="s">
        <v>90</v>
      </c>
      <c r="AE33" s="86" t="s">
        <v>54</v>
      </c>
      <c r="AF33" s="86" t="s">
        <v>54</v>
      </c>
      <c r="AG33" s="19"/>
      <c r="AH33" s="70" t="s">
        <v>56</v>
      </c>
      <c r="AI33" s="9"/>
      <c r="AJ33" s="11"/>
      <c r="AK33" s="11"/>
      <c r="AL33" s="11"/>
      <c r="AM33" s="11"/>
      <c r="AN33" s="11"/>
      <c r="AO33" s="11"/>
      <c r="AP33" s="11"/>
      <c r="AQ33" s="11"/>
      <c r="AR33" s="11"/>
      <c r="AS33" s="11"/>
      <c r="AT33" s="11"/>
      <c r="AU33" s="11"/>
      <c r="AV33" s="11"/>
      <c r="AW33" s="11"/>
    </row>
    <row r="34" spans="1:49" ht="75" customHeight="1">
      <c r="A34" s="16" t="s">
        <v>42</v>
      </c>
      <c r="B34" s="16" t="s">
        <v>43</v>
      </c>
      <c r="C34" s="116" t="s">
        <v>57</v>
      </c>
      <c r="D34" s="115" t="s">
        <v>58</v>
      </c>
      <c r="E34" s="121" t="s">
        <v>46</v>
      </c>
      <c r="F34" s="103" t="s">
        <v>59</v>
      </c>
      <c r="G34" s="68" t="s">
        <v>185</v>
      </c>
      <c r="H34" s="10" t="s">
        <v>186</v>
      </c>
      <c r="I34" s="51" t="s">
        <v>74</v>
      </c>
      <c r="J34" s="55"/>
      <c r="K34" s="55"/>
      <c r="L34" s="55"/>
      <c r="M34" s="55"/>
      <c r="N34" s="55"/>
      <c r="O34" s="56"/>
      <c r="P34" s="62"/>
      <c r="Q34" s="55"/>
      <c r="R34" s="55"/>
      <c r="S34" s="55"/>
      <c r="T34" s="55"/>
      <c r="U34" s="56"/>
      <c r="V34" s="62"/>
      <c r="W34" s="63"/>
      <c r="X34" s="64"/>
      <c r="Y34" s="55"/>
      <c r="Z34" s="55"/>
      <c r="AA34" s="63"/>
      <c r="AB34" s="66" t="s">
        <v>187</v>
      </c>
      <c r="AC34" s="19" t="s">
        <v>188</v>
      </c>
      <c r="AD34" s="114" t="s">
        <v>90</v>
      </c>
      <c r="AE34" s="86" t="s">
        <v>54</v>
      </c>
      <c r="AF34" s="86" t="s">
        <v>54</v>
      </c>
      <c r="AG34" s="113" t="s">
        <v>189</v>
      </c>
      <c r="AH34" s="70" t="s">
        <v>56</v>
      </c>
      <c r="AI34" s="9"/>
      <c r="AJ34" s="11"/>
      <c r="AK34" s="11"/>
      <c r="AL34" s="11"/>
      <c r="AM34" s="11"/>
      <c r="AN34" s="11"/>
      <c r="AO34" s="11"/>
      <c r="AP34" s="11"/>
      <c r="AQ34" s="11"/>
      <c r="AR34" s="11"/>
      <c r="AS34" s="11"/>
      <c r="AT34" s="11"/>
      <c r="AU34" s="11"/>
      <c r="AV34" s="11"/>
      <c r="AW34" s="11"/>
    </row>
    <row r="35" spans="1:49" ht="78.75" customHeight="1">
      <c r="A35" s="16" t="s">
        <v>42</v>
      </c>
      <c r="B35" s="16" t="s">
        <v>43</v>
      </c>
      <c r="C35" s="116" t="s">
        <v>57</v>
      </c>
      <c r="D35" s="115" t="s">
        <v>58</v>
      </c>
      <c r="E35" s="121" t="s">
        <v>46</v>
      </c>
      <c r="F35" s="103" t="s">
        <v>59</v>
      </c>
      <c r="G35" s="68" t="s">
        <v>190</v>
      </c>
      <c r="H35" s="10" t="s">
        <v>191</v>
      </c>
      <c r="I35" s="51" t="s">
        <v>74</v>
      </c>
      <c r="J35" s="55"/>
      <c r="K35" s="55"/>
      <c r="L35" s="55"/>
      <c r="M35" s="55"/>
      <c r="N35" s="55"/>
      <c r="O35" s="56"/>
      <c r="P35" s="62"/>
      <c r="Q35" s="55"/>
      <c r="R35" s="55"/>
      <c r="S35" s="55"/>
      <c r="T35" s="55"/>
      <c r="U35" s="56"/>
      <c r="V35" s="62"/>
      <c r="W35" s="63"/>
      <c r="X35" s="64"/>
      <c r="Y35" s="55"/>
      <c r="Z35" s="55"/>
      <c r="AA35" s="63"/>
      <c r="AB35" s="66" t="s">
        <v>192</v>
      </c>
      <c r="AC35" s="19" t="s">
        <v>193</v>
      </c>
      <c r="AD35" s="114" t="s">
        <v>90</v>
      </c>
      <c r="AE35" s="86" t="s">
        <v>54</v>
      </c>
      <c r="AF35" s="86" t="s">
        <v>54</v>
      </c>
      <c r="AG35" s="113" t="s">
        <v>194</v>
      </c>
      <c r="AH35" s="70" t="s">
        <v>56</v>
      </c>
      <c r="AI35" s="9"/>
      <c r="AJ35" s="11"/>
      <c r="AK35" s="11"/>
      <c r="AL35" s="11"/>
      <c r="AM35" s="11"/>
      <c r="AN35" s="11"/>
      <c r="AO35" s="11"/>
      <c r="AP35" s="11"/>
      <c r="AQ35" s="11"/>
      <c r="AR35" s="11"/>
      <c r="AS35" s="11"/>
      <c r="AT35" s="11"/>
      <c r="AU35" s="11"/>
      <c r="AV35" s="11"/>
      <c r="AW35" s="11"/>
    </row>
    <row r="36" spans="1:49" ht="76.5" customHeight="1">
      <c r="A36" s="16" t="s">
        <v>42</v>
      </c>
      <c r="B36" s="16" t="s">
        <v>43</v>
      </c>
      <c r="C36" s="116" t="s">
        <v>57</v>
      </c>
      <c r="D36" s="115" t="s">
        <v>58</v>
      </c>
      <c r="E36" s="121" t="s">
        <v>46</v>
      </c>
      <c r="F36" s="103" t="s">
        <v>59</v>
      </c>
      <c r="G36" s="9" t="s">
        <v>195</v>
      </c>
      <c r="H36" s="69" t="s">
        <v>196</v>
      </c>
      <c r="I36" s="51" t="s">
        <v>74</v>
      </c>
      <c r="J36" s="55"/>
      <c r="K36" s="55"/>
      <c r="L36" s="55"/>
      <c r="M36" s="55"/>
      <c r="N36" s="55"/>
      <c r="O36" s="56"/>
      <c r="P36" s="62"/>
      <c r="Q36" s="55"/>
      <c r="R36" s="55"/>
      <c r="S36" s="55"/>
      <c r="T36" s="55"/>
      <c r="U36" s="56"/>
      <c r="V36" s="62"/>
      <c r="W36" s="63"/>
      <c r="X36" s="64"/>
      <c r="Y36" s="55"/>
      <c r="Z36" s="55"/>
      <c r="AA36" s="63"/>
      <c r="AB36" s="66" t="s">
        <v>197</v>
      </c>
      <c r="AC36" s="19" t="s">
        <v>193</v>
      </c>
      <c r="AD36" s="114" t="s">
        <v>90</v>
      </c>
      <c r="AE36" s="86" t="s">
        <v>54</v>
      </c>
      <c r="AF36" s="86" t="s">
        <v>54</v>
      </c>
      <c r="AG36" s="113" t="s">
        <v>194</v>
      </c>
      <c r="AH36" s="70" t="s">
        <v>56</v>
      </c>
      <c r="AI36" s="9"/>
      <c r="AJ36" s="11"/>
      <c r="AK36" s="11"/>
      <c r="AL36" s="11"/>
      <c r="AM36" s="11"/>
      <c r="AN36" s="11"/>
      <c r="AO36" s="11"/>
      <c r="AP36" s="11"/>
      <c r="AQ36" s="11"/>
      <c r="AR36" s="11"/>
      <c r="AS36" s="11"/>
      <c r="AT36" s="11"/>
      <c r="AU36" s="11"/>
      <c r="AV36" s="11"/>
      <c r="AW36" s="11"/>
    </row>
    <row r="37" spans="1:49" ht="65.25" customHeight="1">
      <c r="A37" s="16" t="s">
        <v>42</v>
      </c>
      <c r="B37" s="16" t="s">
        <v>43</v>
      </c>
      <c r="C37" s="116" t="s">
        <v>57</v>
      </c>
      <c r="D37" s="115" t="s">
        <v>58</v>
      </c>
      <c r="E37" s="121" t="s">
        <v>46</v>
      </c>
      <c r="F37" s="103" t="s">
        <v>59</v>
      </c>
      <c r="G37" s="9" t="s">
        <v>198</v>
      </c>
      <c r="H37" s="10" t="s">
        <v>199</v>
      </c>
      <c r="I37" s="51" t="s">
        <v>74</v>
      </c>
      <c r="J37" s="55"/>
      <c r="K37" s="55"/>
      <c r="L37" s="55"/>
      <c r="M37" s="55"/>
      <c r="N37" s="55"/>
      <c r="O37" s="56"/>
      <c r="P37" s="62"/>
      <c r="Q37" s="55"/>
      <c r="R37" s="55"/>
      <c r="S37" s="55"/>
      <c r="T37" s="55"/>
      <c r="U37" s="56"/>
      <c r="V37" s="62"/>
      <c r="W37" s="63"/>
      <c r="X37" s="64"/>
      <c r="Y37" s="55"/>
      <c r="Z37" s="55"/>
      <c r="AA37" s="63"/>
      <c r="AB37" s="66" t="s">
        <v>200</v>
      </c>
      <c r="AC37" s="19" t="s">
        <v>201</v>
      </c>
      <c r="AD37" s="114" t="s">
        <v>90</v>
      </c>
      <c r="AE37" s="86" t="s">
        <v>54</v>
      </c>
      <c r="AF37" s="86" t="s">
        <v>54</v>
      </c>
      <c r="AG37" s="19" t="s">
        <v>202</v>
      </c>
      <c r="AH37" s="70" t="s">
        <v>56</v>
      </c>
      <c r="AI37" s="9"/>
      <c r="AJ37" s="11"/>
      <c r="AK37" s="11"/>
      <c r="AL37" s="11"/>
      <c r="AM37" s="11"/>
      <c r="AN37" s="11"/>
      <c r="AO37" s="11"/>
      <c r="AP37" s="11"/>
      <c r="AQ37" s="11"/>
      <c r="AR37" s="11"/>
      <c r="AS37" s="11"/>
      <c r="AT37" s="11"/>
      <c r="AU37" s="11"/>
      <c r="AV37" s="11"/>
      <c r="AW37" s="11"/>
    </row>
    <row r="38" spans="1:49" ht="51" customHeight="1">
      <c r="A38" s="16" t="s">
        <v>42</v>
      </c>
      <c r="B38" s="16" t="s">
        <v>43</v>
      </c>
      <c r="C38" s="116" t="s">
        <v>57</v>
      </c>
      <c r="D38" s="115" t="s">
        <v>58</v>
      </c>
      <c r="E38" s="121" t="s">
        <v>46</v>
      </c>
      <c r="F38" s="103" t="s">
        <v>59</v>
      </c>
      <c r="G38" s="9" t="s">
        <v>203</v>
      </c>
      <c r="H38" s="10" t="s">
        <v>204</v>
      </c>
      <c r="I38" s="51" t="s">
        <v>74</v>
      </c>
      <c r="J38" s="55"/>
      <c r="K38" s="55"/>
      <c r="L38" s="55"/>
      <c r="M38" s="55"/>
      <c r="N38" s="55"/>
      <c r="O38" s="56"/>
      <c r="P38" s="62"/>
      <c r="Q38" s="55"/>
      <c r="R38" s="55"/>
      <c r="S38" s="55"/>
      <c r="T38" s="55"/>
      <c r="U38" s="56"/>
      <c r="V38" s="62"/>
      <c r="W38" s="63"/>
      <c r="X38" s="64"/>
      <c r="Y38" s="55"/>
      <c r="Z38" s="55"/>
      <c r="AA38" s="63"/>
      <c r="AB38" s="66" t="s">
        <v>205</v>
      </c>
      <c r="AC38" s="19" t="s">
        <v>206</v>
      </c>
      <c r="AD38" s="114" t="s">
        <v>90</v>
      </c>
      <c r="AE38" s="86" t="s">
        <v>54</v>
      </c>
      <c r="AF38" s="86" t="s">
        <v>54</v>
      </c>
      <c r="AG38" s="19" t="s">
        <v>202</v>
      </c>
      <c r="AH38" s="70" t="s">
        <v>56</v>
      </c>
      <c r="AI38" s="9"/>
      <c r="AJ38" s="11"/>
      <c r="AK38" s="11"/>
      <c r="AL38" s="11"/>
      <c r="AM38" s="11"/>
      <c r="AN38" s="11"/>
      <c r="AO38" s="11"/>
      <c r="AP38" s="11"/>
      <c r="AQ38" s="11"/>
      <c r="AR38" s="11"/>
      <c r="AS38" s="11"/>
      <c r="AT38" s="11"/>
      <c r="AU38" s="11"/>
      <c r="AV38" s="11"/>
      <c r="AW38" s="11"/>
    </row>
    <row r="39" spans="1:49" ht="54" customHeight="1">
      <c r="A39" s="16" t="s">
        <v>42</v>
      </c>
      <c r="B39" s="16" t="s">
        <v>43</v>
      </c>
      <c r="C39" s="116" t="s">
        <v>57</v>
      </c>
      <c r="D39" s="115" t="s">
        <v>58</v>
      </c>
      <c r="E39" s="121" t="s">
        <v>46</v>
      </c>
      <c r="F39" s="103" t="s">
        <v>59</v>
      </c>
      <c r="G39" s="9" t="s">
        <v>207</v>
      </c>
      <c r="H39" s="10" t="s">
        <v>208</v>
      </c>
      <c r="I39" s="51" t="s">
        <v>74</v>
      </c>
      <c r="J39" s="55"/>
      <c r="K39" s="55"/>
      <c r="L39" s="55"/>
      <c r="M39" s="55"/>
      <c r="N39" s="55"/>
      <c r="O39" s="56"/>
      <c r="P39" s="62"/>
      <c r="Q39" s="55"/>
      <c r="R39" s="55"/>
      <c r="S39" s="55"/>
      <c r="T39" s="55"/>
      <c r="U39" s="56"/>
      <c r="V39" s="62"/>
      <c r="W39" s="63"/>
      <c r="X39" s="64"/>
      <c r="Y39" s="55"/>
      <c r="Z39" s="55"/>
      <c r="AA39" s="63"/>
      <c r="AB39" s="66" t="s">
        <v>209</v>
      </c>
      <c r="AC39" s="19" t="s">
        <v>210</v>
      </c>
      <c r="AD39" s="114" t="s">
        <v>90</v>
      </c>
      <c r="AE39" s="86" t="s">
        <v>54</v>
      </c>
      <c r="AF39" s="86" t="s">
        <v>54</v>
      </c>
      <c r="AG39" s="19" t="s">
        <v>202</v>
      </c>
      <c r="AH39" s="70" t="s">
        <v>56</v>
      </c>
      <c r="AI39" s="9"/>
      <c r="AJ39" s="11"/>
      <c r="AK39" s="11"/>
      <c r="AL39" s="11"/>
      <c r="AM39" s="11"/>
      <c r="AN39" s="11"/>
      <c r="AO39" s="11"/>
      <c r="AP39" s="11"/>
      <c r="AQ39" s="11"/>
      <c r="AR39" s="11"/>
      <c r="AS39" s="11"/>
      <c r="AT39" s="11"/>
      <c r="AU39" s="11"/>
      <c r="AV39" s="11"/>
      <c r="AW39" s="11"/>
    </row>
    <row r="40" spans="1:49" ht="62.25" customHeight="1">
      <c r="A40" s="16" t="s">
        <v>42</v>
      </c>
      <c r="B40" s="16" t="s">
        <v>43</v>
      </c>
      <c r="C40" s="116" t="s">
        <v>57</v>
      </c>
      <c r="D40" s="115" t="s">
        <v>58</v>
      </c>
      <c r="E40" s="121" t="s">
        <v>46</v>
      </c>
      <c r="F40" s="103" t="s">
        <v>59</v>
      </c>
      <c r="G40" s="9" t="s">
        <v>211</v>
      </c>
      <c r="H40" s="10" t="s">
        <v>212</v>
      </c>
      <c r="I40" s="51" t="s">
        <v>74</v>
      </c>
      <c r="J40" s="55"/>
      <c r="K40" s="55"/>
      <c r="L40" s="55"/>
      <c r="M40" s="55"/>
      <c r="N40" s="55"/>
      <c r="O40" s="56"/>
      <c r="P40" s="62"/>
      <c r="Q40" s="55"/>
      <c r="R40" s="55"/>
      <c r="S40" s="55"/>
      <c r="T40" s="55"/>
      <c r="U40" s="56"/>
      <c r="V40" s="62"/>
      <c r="W40" s="63"/>
      <c r="X40" s="64"/>
      <c r="Y40" s="55"/>
      <c r="Z40" s="55"/>
      <c r="AA40" s="63"/>
      <c r="AB40" s="66" t="s">
        <v>213</v>
      </c>
      <c r="AC40" s="19" t="s">
        <v>214</v>
      </c>
      <c r="AD40" s="114" t="s">
        <v>90</v>
      </c>
      <c r="AE40" s="86" t="s">
        <v>54</v>
      </c>
      <c r="AF40" s="86" t="s">
        <v>54</v>
      </c>
      <c r="AG40" s="19" t="s">
        <v>202</v>
      </c>
      <c r="AH40" s="70" t="s">
        <v>56</v>
      </c>
      <c r="AI40" s="9"/>
      <c r="AJ40" s="11"/>
      <c r="AK40" s="11"/>
      <c r="AL40" s="11"/>
      <c r="AM40" s="11"/>
      <c r="AN40" s="11"/>
      <c r="AO40" s="11"/>
      <c r="AP40" s="11"/>
      <c r="AQ40" s="11"/>
      <c r="AR40" s="11"/>
      <c r="AS40" s="11"/>
      <c r="AT40" s="11"/>
      <c r="AU40" s="11"/>
      <c r="AV40" s="11"/>
      <c r="AW40" s="11"/>
    </row>
    <row r="41" spans="1:49" ht="61.5" customHeight="1">
      <c r="A41" s="16" t="s">
        <v>42</v>
      </c>
      <c r="B41" s="72" t="s">
        <v>43</v>
      </c>
      <c r="C41" s="117" t="s">
        <v>57</v>
      </c>
      <c r="D41" s="115" t="s">
        <v>58</v>
      </c>
      <c r="E41" s="121" t="s">
        <v>46</v>
      </c>
      <c r="F41" s="103" t="s">
        <v>59</v>
      </c>
      <c r="G41" s="73" t="s">
        <v>215</v>
      </c>
      <c r="H41" s="74" t="s">
        <v>216</v>
      </c>
      <c r="I41" s="75" t="s">
        <v>74</v>
      </c>
      <c r="J41" s="76"/>
      <c r="K41" s="76"/>
      <c r="L41" s="76"/>
      <c r="M41" s="76"/>
      <c r="N41" s="76"/>
      <c r="O41" s="77"/>
      <c r="P41" s="78"/>
      <c r="Q41" s="76"/>
      <c r="R41" s="76"/>
      <c r="S41" s="76"/>
      <c r="T41" s="76"/>
      <c r="U41" s="77"/>
      <c r="V41" s="78"/>
      <c r="W41" s="79"/>
      <c r="X41" s="80"/>
      <c r="Y41" s="76"/>
      <c r="Z41" s="76"/>
      <c r="AA41" s="79"/>
      <c r="AB41" s="123" t="s">
        <v>217</v>
      </c>
      <c r="AC41" s="19" t="s">
        <v>218</v>
      </c>
      <c r="AD41" s="114" t="s">
        <v>90</v>
      </c>
      <c r="AE41" s="86" t="s">
        <v>54</v>
      </c>
      <c r="AF41" s="86" t="s">
        <v>54</v>
      </c>
      <c r="AG41" s="19" t="s">
        <v>202</v>
      </c>
      <c r="AH41" s="70" t="s">
        <v>56</v>
      </c>
      <c r="AI41" s="9"/>
      <c r="AJ41" s="11"/>
      <c r="AK41" s="11"/>
      <c r="AL41" s="11"/>
      <c r="AM41" s="11"/>
      <c r="AN41" s="11"/>
      <c r="AO41" s="11"/>
      <c r="AP41" s="11"/>
      <c r="AQ41" s="11"/>
      <c r="AR41" s="11"/>
      <c r="AS41" s="11"/>
      <c r="AT41" s="11"/>
      <c r="AU41" s="11"/>
      <c r="AV41" s="11"/>
      <c r="AW41" s="11"/>
    </row>
    <row r="42" spans="1:49" ht="83.25" customHeight="1">
      <c r="A42" s="16" t="s">
        <v>42</v>
      </c>
      <c r="B42" s="16" t="s">
        <v>43</v>
      </c>
      <c r="C42" s="112" t="s">
        <v>44</v>
      </c>
      <c r="D42" s="97" t="s">
        <v>151</v>
      </c>
      <c r="E42" s="89" t="s">
        <v>46</v>
      </c>
      <c r="F42" s="94" t="s">
        <v>109</v>
      </c>
      <c r="G42" s="9" t="s">
        <v>219</v>
      </c>
      <c r="H42" s="19" t="s">
        <v>220</v>
      </c>
      <c r="I42" s="71" t="s">
        <v>74</v>
      </c>
      <c r="J42" s="55"/>
      <c r="K42" s="55"/>
      <c r="L42" s="55"/>
      <c r="M42" s="55"/>
      <c r="N42" s="55"/>
      <c r="O42" s="55"/>
      <c r="P42" s="55" t="s">
        <v>62</v>
      </c>
      <c r="Q42" s="55"/>
      <c r="R42" s="55"/>
      <c r="S42" s="55"/>
      <c r="T42" s="55"/>
      <c r="U42" s="55"/>
      <c r="V42" s="55"/>
      <c r="W42" s="55"/>
      <c r="X42" s="55"/>
      <c r="Y42" s="55"/>
      <c r="Z42" s="55"/>
      <c r="AA42" s="56"/>
      <c r="AB42" s="19"/>
      <c r="AC42" s="122" t="s">
        <v>221</v>
      </c>
      <c r="AD42" s="9" t="s">
        <v>53</v>
      </c>
      <c r="AE42" s="86" t="s">
        <v>54</v>
      </c>
      <c r="AF42" s="86" t="s">
        <v>54</v>
      </c>
      <c r="AG42" s="92" t="s">
        <v>114</v>
      </c>
      <c r="AH42" s="70" t="s">
        <v>56</v>
      </c>
      <c r="AI42" s="9"/>
      <c r="AJ42" s="11"/>
      <c r="AK42" s="11"/>
      <c r="AL42" s="11"/>
      <c r="AM42" s="11"/>
      <c r="AN42" s="11"/>
      <c r="AO42" s="11"/>
      <c r="AP42" s="11"/>
      <c r="AQ42" s="11"/>
      <c r="AR42" s="11"/>
      <c r="AS42" s="11"/>
      <c r="AT42" s="11"/>
      <c r="AU42" s="11"/>
      <c r="AV42" s="11"/>
      <c r="AW42" s="11"/>
    </row>
    <row r="43" spans="1:49" ht="91.5" customHeight="1">
      <c r="A43" s="16" t="s">
        <v>42</v>
      </c>
      <c r="B43" s="16" t="s">
        <v>43</v>
      </c>
      <c r="C43" s="96" t="s">
        <v>44</v>
      </c>
      <c r="D43" s="98" t="s">
        <v>151</v>
      </c>
      <c r="E43" s="89" t="s">
        <v>46</v>
      </c>
      <c r="F43" s="94" t="s">
        <v>109</v>
      </c>
      <c r="G43" s="9" t="s">
        <v>222</v>
      </c>
      <c r="H43" s="19" t="s">
        <v>223</v>
      </c>
      <c r="I43" s="71" t="s">
        <v>74</v>
      </c>
      <c r="J43" s="55"/>
      <c r="K43" s="55"/>
      <c r="L43" s="55"/>
      <c r="M43" s="55"/>
      <c r="N43" s="55"/>
      <c r="O43" s="55"/>
      <c r="P43" s="55"/>
      <c r="Q43" s="55" t="s">
        <v>62</v>
      </c>
      <c r="R43" s="55"/>
      <c r="S43" s="55"/>
      <c r="T43" s="55"/>
      <c r="U43" s="55"/>
      <c r="V43" s="55"/>
      <c r="W43" s="55"/>
      <c r="X43" s="55"/>
      <c r="Y43" s="55"/>
      <c r="Z43" s="55"/>
      <c r="AA43" s="56"/>
      <c r="AB43" s="19"/>
      <c r="AC43" s="122" t="s">
        <v>221</v>
      </c>
      <c r="AD43" s="9" t="s">
        <v>53</v>
      </c>
      <c r="AE43" s="86" t="s">
        <v>54</v>
      </c>
      <c r="AF43" s="86" t="s">
        <v>54</v>
      </c>
      <c r="AG43" s="92" t="s">
        <v>124</v>
      </c>
      <c r="AH43" s="70" t="s">
        <v>56</v>
      </c>
      <c r="AI43" s="9"/>
      <c r="AJ43" s="11"/>
      <c r="AK43" s="11"/>
      <c r="AL43" s="11"/>
      <c r="AM43" s="11"/>
      <c r="AN43" s="11"/>
      <c r="AO43" s="11"/>
      <c r="AP43" s="11"/>
      <c r="AQ43" s="11"/>
      <c r="AR43" s="11"/>
      <c r="AS43" s="11"/>
      <c r="AT43" s="11"/>
      <c r="AU43" s="11"/>
      <c r="AV43" s="11"/>
      <c r="AW43" s="11"/>
    </row>
    <row r="44" spans="1:49" ht="98.25" customHeight="1">
      <c r="A44" s="16" t="s">
        <v>42</v>
      </c>
      <c r="B44" s="16" t="s">
        <v>43</v>
      </c>
      <c r="C44" s="89" t="s">
        <v>44</v>
      </c>
      <c r="D44" s="98" t="s">
        <v>151</v>
      </c>
      <c r="E44" s="89" t="s">
        <v>46</v>
      </c>
      <c r="F44" s="94" t="s">
        <v>109</v>
      </c>
      <c r="G44" s="9" t="s">
        <v>224</v>
      </c>
      <c r="H44" s="19" t="s">
        <v>225</v>
      </c>
      <c r="I44" s="71" t="s">
        <v>74</v>
      </c>
      <c r="J44" s="55"/>
      <c r="K44" s="55"/>
      <c r="L44" s="55"/>
      <c r="M44" s="55"/>
      <c r="N44" s="55"/>
      <c r="O44" s="55"/>
      <c r="P44" s="55"/>
      <c r="Q44" s="55"/>
      <c r="R44" s="55" t="s">
        <v>62</v>
      </c>
      <c r="S44" s="55"/>
      <c r="T44" s="55"/>
      <c r="U44" s="55"/>
      <c r="V44" s="55"/>
      <c r="W44" s="55"/>
      <c r="X44" s="55"/>
      <c r="Y44" s="55"/>
      <c r="Z44" s="55"/>
      <c r="AA44" s="56"/>
      <c r="AB44" s="19"/>
      <c r="AC44" s="122" t="s">
        <v>221</v>
      </c>
      <c r="AD44" s="9" t="s">
        <v>53</v>
      </c>
      <c r="AE44" s="86" t="s">
        <v>54</v>
      </c>
      <c r="AF44" s="86" t="s">
        <v>54</v>
      </c>
      <c r="AG44" s="14" t="s">
        <v>132</v>
      </c>
      <c r="AH44" s="70" t="s">
        <v>56</v>
      </c>
      <c r="AI44" s="9"/>
      <c r="AJ44" s="11"/>
      <c r="AK44" s="11"/>
      <c r="AL44" s="11"/>
      <c r="AM44" s="11"/>
      <c r="AN44" s="11"/>
      <c r="AO44" s="11"/>
      <c r="AP44" s="11"/>
      <c r="AQ44" s="11"/>
      <c r="AR44" s="11"/>
      <c r="AS44" s="11"/>
      <c r="AT44" s="11"/>
      <c r="AU44" s="11"/>
      <c r="AV44" s="11"/>
      <c r="AW44" s="11"/>
    </row>
    <row r="45" spans="1:49" ht="15.75" customHeight="1">
      <c r="B45" s="54"/>
      <c r="C45" s="54"/>
      <c r="D45" s="54"/>
      <c r="E45" s="54"/>
      <c r="F45" s="54"/>
      <c r="G45" s="54"/>
      <c r="H45" s="25"/>
      <c r="I45" s="25"/>
      <c r="J45" s="25"/>
      <c r="K45" s="25"/>
      <c r="L45" s="25"/>
      <c r="M45" s="25"/>
      <c r="N45" s="25"/>
      <c r="O45" s="25"/>
      <c r="P45" s="25"/>
      <c r="Q45" s="25"/>
      <c r="R45" s="25"/>
      <c r="S45" s="25"/>
      <c r="T45" s="25"/>
      <c r="U45" s="25"/>
      <c r="V45" s="25"/>
      <c r="W45" s="25"/>
      <c r="X45" s="25"/>
      <c r="Y45" s="25"/>
      <c r="Z45" s="25"/>
      <c r="AA45" s="25"/>
      <c r="AB45" s="25"/>
      <c r="AC45" s="25"/>
      <c r="AD45" s="15"/>
    </row>
    <row r="46" spans="1:49" ht="15.75" customHeight="1">
      <c r="B46" s="15"/>
      <c r="C46" s="15"/>
      <c r="D46" s="15"/>
      <c r="E46" s="15"/>
      <c r="F46" s="15"/>
      <c r="G46" s="15"/>
      <c r="AD46" s="15"/>
    </row>
    <row r="47" spans="1:49" ht="15.75" customHeight="1">
      <c r="B47" s="15" t="s">
        <v>226</v>
      </c>
      <c r="C47" s="15"/>
      <c r="D47" s="15"/>
      <c r="E47" s="15"/>
      <c r="F47" s="15"/>
      <c r="G47" s="27" t="s">
        <v>227</v>
      </c>
      <c r="AD47" s="15"/>
    </row>
    <row r="48" spans="1:49" ht="15.75" customHeight="1">
      <c r="B48" s="15"/>
      <c r="C48" s="15"/>
      <c r="D48" s="15"/>
      <c r="E48" s="15"/>
      <c r="F48" s="15"/>
      <c r="G48" s="15"/>
      <c r="AD48" s="15"/>
    </row>
    <row r="49" spans="2:33" ht="15.75" customHeight="1">
      <c r="B49" s="15"/>
      <c r="C49" s="15"/>
      <c r="D49" s="15"/>
      <c r="E49" s="15"/>
      <c r="F49" s="15"/>
      <c r="G49" s="15"/>
      <c r="AD49" s="36" t="s">
        <v>228</v>
      </c>
      <c r="AE49" s="1"/>
      <c r="AF49" s="1"/>
    </row>
    <row r="50" spans="2:33" ht="15.75" customHeight="1">
      <c r="B50" s="15"/>
      <c r="C50" s="15"/>
      <c r="D50" s="15"/>
      <c r="E50" s="15"/>
      <c r="F50" s="15"/>
      <c r="G50" s="15"/>
      <c r="AD50" s="37"/>
      <c r="AE50" s="3"/>
      <c r="AF50" s="3"/>
    </row>
    <row r="51" spans="2:33" ht="15.75" customHeight="1">
      <c r="B51" s="15"/>
      <c r="C51" s="15"/>
      <c r="D51" s="15"/>
      <c r="E51" s="15"/>
      <c r="F51" s="15"/>
      <c r="G51" s="15"/>
      <c r="AD51" s="37"/>
      <c r="AE51" s="85" t="s">
        <v>44</v>
      </c>
      <c r="AF51" s="85" t="s">
        <v>46</v>
      </c>
    </row>
    <row r="52" spans="2:33" ht="15.75" customHeight="1">
      <c r="B52" s="15"/>
      <c r="C52" s="15"/>
      <c r="D52" s="15"/>
      <c r="E52" s="15"/>
      <c r="F52" s="15"/>
      <c r="G52" s="15"/>
      <c r="AD52" s="84" t="s">
        <v>229</v>
      </c>
      <c r="AE52" s="83">
        <f>COUNTIF(AE4:AE44,"Not Start")</f>
        <v>0</v>
      </c>
      <c r="AF52" s="83">
        <f>COUNTIF(AF4:AF44,"Not Start")</f>
        <v>0</v>
      </c>
      <c r="AG52" s="25"/>
    </row>
    <row r="53" spans="2:33" ht="15.75" customHeight="1">
      <c r="B53" s="15"/>
      <c r="C53" s="15"/>
      <c r="D53" s="15"/>
      <c r="E53" s="15"/>
      <c r="F53" s="15"/>
      <c r="G53" s="15"/>
      <c r="AD53" s="5" t="s">
        <v>230</v>
      </c>
      <c r="AE53" s="81">
        <f>COUNTIF(AE4:AE44,"Inprogress")</f>
        <v>0</v>
      </c>
      <c r="AF53" s="81">
        <f>COUNTIF(AF4:AF44,"Inprogress")</f>
        <v>0</v>
      </c>
    </row>
    <row r="54" spans="2:33" ht="15.75" customHeight="1">
      <c r="B54" s="15"/>
      <c r="C54" s="15"/>
      <c r="D54" s="15"/>
      <c r="E54" s="15"/>
      <c r="F54" s="15"/>
      <c r="G54" s="15"/>
      <c r="AD54" s="5" t="s">
        <v>76</v>
      </c>
      <c r="AE54" s="81">
        <f>COUNTIF(AE4:AE44,"Skip")</f>
        <v>6</v>
      </c>
      <c r="AF54" s="81">
        <f>COUNTIF(AF4:AF44,"Skip")</f>
        <v>6</v>
      </c>
    </row>
    <row r="55" spans="2:33" ht="15.75" customHeight="1">
      <c r="B55" s="15"/>
      <c r="C55" s="15"/>
      <c r="D55" s="15"/>
      <c r="E55" s="15"/>
      <c r="F55" s="15"/>
      <c r="G55" s="15"/>
      <c r="AD55" s="5" t="s">
        <v>231</v>
      </c>
      <c r="AE55" s="81">
        <f>COUNTIF(AE4:AE44,"Block")</f>
        <v>0</v>
      </c>
      <c r="AF55" s="81">
        <f>COUNTIF(AF4:AF44,"Block")</f>
        <v>0</v>
      </c>
    </row>
    <row r="56" spans="2:33" ht="15.75" customHeight="1">
      <c r="B56" s="15"/>
      <c r="C56" s="15"/>
      <c r="D56" s="15"/>
      <c r="E56" s="15"/>
      <c r="F56" s="15"/>
      <c r="G56" s="15"/>
      <c r="AD56" s="5" t="s">
        <v>232</v>
      </c>
      <c r="AE56" s="81">
        <f>COUNTIF(AE4:AE44,"Failed")</f>
        <v>0</v>
      </c>
      <c r="AF56" s="81">
        <f>COUNTIF(AF4:AF44,"Failed")</f>
        <v>0</v>
      </c>
    </row>
    <row r="57" spans="2:33" ht="15.75" customHeight="1">
      <c r="B57" s="15"/>
      <c r="C57" s="15"/>
      <c r="D57" s="15"/>
      <c r="E57" s="15"/>
      <c r="F57" s="15"/>
      <c r="G57" s="15"/>
      <c r="AD57" s="5" t="s">
        <v>40</v>
      </c>
      <c r="AE57" s="82">
        <f>COUNTIF(AE4:AE44,"Passed")</f>
        <v>35</v>
      </c>
      <c r="AF57" s="82">
        <f>COUNTIF(AF4:AF44,"Passed")</f>
        <v>35</v>
      </c>
    </row>
    <row r="58" spans="2:33" ht="15.75" customHeight="1">
      <c r="B58" s="15"/>
      <c r="C58" s="15"/>
      <c r="D58" s="15"/>
      <c r="E58" s="15"/>
      <c r="F58" s="15"/>
      <c r="G58" s="15"/>
      <c r="AD58" s="37"/>
      <c r="AE58" s="6"/>
    </row>
    <row r="59" spans="2:33" ht="15.75" customHeight="1">
      <c r="B59" s="15"/>
      <c r="C59" s="15"/>
      <c r="D59" s="15"/>
      <c r="E59" s="15"/>
      <c r="F59" s="15"/>
      <c r="G59" s="15"/>
      <c r="AD59" s="37"/>
      <c r="AE59" s="4" t="s">
        <v>44</v>
      </c>
      <c r="AF59" s="4" t="s">
        <v>46</v>
      </c>
    </row>
    <row r="60" spans="2:33" ht="15.75" customHeight="1">
      <c r="B60" s="15"/>
      <c r="C60" s="15"/>
      <c r="D60" s="15"/>
      <c r="E60" s="15"/>
      <c r="F60" s="15"/>
      <c r="G60" s="15"/>
      <c r="AD60" s="5" t="s">
        <v>233</v>
      </c>
      <c r="AE60" s="7">
        <f t="shared" ref="AE60:AF60" si="0">AE57/(AE57+AE52+AE53+AE56)</f>
        <v>1</v>
      </c>
      <c r="AF60" s="7">
        <f t="shared" si="0"/>
        <v>1</v>
      </c>
    </row>
    <row r="61" spans="2:33" ht="15.75" customHeight="1">
      <c r="B61" s="15"/>
      <c r="C61" s="15"/>
      <c r="D61" s="15"/>
      <c r="E61" s="15"/>
      <c r="F61" s="15"/>
      <c r="G61" s="15"/>
      <c r="AD61" s="15"/>
    </row>
    <row r="62" spans="2:33" ht="15.75" customHeight="1">
      <c r="B62" s="15"/>
      <c r="C62" s="15"/>
      <c r="D62" s="15"/>
      <c r="E62" s="15"/>
      <c r="F62" s="15"/>
      <c r="G62" s="15"/>
      <c r="AD62" s="15"/>
    </row>
    <row r="63" spans="2:33" ht="15.75" customHeight="1">
      <c r="B63" s="15"/>
      <c r="C63" s="15"/>
      <c r="D63" s="15"/>
      <c r="E63" s="15"/>
      <c r="F63" s="15"/>
      <c r="G63" s="15"/>
      <c r="AD63" s="15"/>
    </row>
    <row r="64" spans="2:33" ht="15.75" customHeight="1">
      <c r="B64" s="15"/>
      <c r="C64" s="15"/>
      <c r="D64" s="15"/>
      <c r="E64" s="15"/>
      <c r="F64" s="15"/>
      <c r="G64" s="15"/>
      <c r="AD64" s="15"/>
    </row>
    <row r="65" spans="2:30" ht="15.75" customHeight="1">
      <c r="B65" s="15"/>
      <c r="C65" s="15"/>
      <c r="D65" s="15"/>
      <c r="E65" s="15"/>
      <c r="F65" s="15"/>
      <c r="G65" s="15"/>
      <c r="AD65" s="15"/>
    </row>
    <row r="66" spans="2:30" ht="15.75" customHeight="1">
      <c r="B66" s="15"/>
      <c r="C66" s="15"/>
      <c r="D66" s="15"/>
      <c r="E66" s="15"/>
      <c r="F66" s="15"/>
      <c r="G66" s="15"/>
      <c r="AD66" s="15"/>
    </row>
    <row r="67" spans="2:30" ht="15.75" customHeight="1">
      <c r="B67" s="15"/>
      <c r="C67" s="15"/>
      <c r="D67" s="15"/>
      <c r="E67" s="15"/>
      <c r="F67" s="15"/>
      <c r="G67" s="15"/>
      <c r="AD67" s="15"/>
    </row>
    <row r="68" spans="2:30" ht="15.75" customHeight="1">
      <c r="B68" s="15"/>
      <c r="C68" s="15"/>
      <c r="D68" s="15"/>
      <c r="E68" s="15"/>
      <c r="F68" s="15"/>
      <c r="G68" s="15"/>
      <c r="AD68" s="15"/>
    </row>
    <row r="69" spans="2:30" ht="15.75" customHeight="1">
      <c r="B69" s="15"/>
      <c r="C69" s="15"/>
      <c r="D69" s="15"/>
      <c r="E69" s="15"/>
      <c r="F69" s="15"/>
      <c r="G69" s="15"/>
      <c r="AD69" s="15"/>
    </row>
    <row r="70" spans="2:30" ht="15.75" customHeight="1">
      <c r="B70" s="15"/>
      <c r="C70" s="15"/>
      <c r="D70" s="15"/>
      <c r="E70" s="15"/>
      <c r="F70" s="15"/>
      <c r="G70" s="15"/>
      <c r="AD70" s="15"/>
    </row>
    <row r="71" spans="2:30" ht="15.75" customHeight="1">
      <c r="B71" s="15"/>
      <c r="C71" s="15"/>
      <c r="D71" s="15"/>
      <c r="E71" s="15"/>
      <c r="F71" s="15"/>
      <c r="G71" s="15"/>
      <c r="AD71" s="15"/>
    </row>
    <row r="72" spans="2:30" ht="15.75" customHeight="1">
      <c r="B72" s="15"/>
      <c r="C72" s="15"/>
      <c r="D72" s="15"/>
      <c r="E72" s="15"/>
      <c r="F72" s="15"/>
      <c r="G72" s="15"/>
      <c r="AD72" s="15"/>
    </row>
    <row r="73" spans="2:30" ht="15.75" customHeight="1">
      <c r="B73" s="15"/>
      <c r="C73" s="15"/>
      <c r="D73" s="15"/>
      <c r="E73" s="15"/>
      <c r="F73" s="15"/>
      <c r="G73" s="15"/>
      <c r="AD73" s="15"/>
    </row>
    <row r="74" spans="2:30" ht="15.75" customHeight="1">
      <c r="B74" s="15"/>
      <c r="C74" s="15"/>
      <c r="D74" s="15"/>
      <c r="E74" s="15"/>
      <c r="F74" s="15"/>
      <c r="G74" s="15"/>
      <c r="AD74" s="15"/>
    </row>
    <row r="75" spans="2:30" ht="15.75" customHeight="1">
      <c r="B75" s="15"/>
      <c r="C75" s="15"/>
      <c r="D75" s="15"/>
      <c r="E75" s="15"/>
      <c r="F75" s="15"/>
      <c r="G75" s="15"/>
      <c r="AD75" s="15"/>
    </row>
    <row r="76" spans="2:30" ht="15.75" customHeight="1">
      <c r="B76" s="15"/>
      <c r="C76" s="15"/>
      <c r="D76" s="15"/>
      <c r="E76" s="15"/>
      <c r="F76" s="15"/>
      <c r="G76" s="15"/>
      <c r="AD76" s="15"/>
    </row>
    <row r="77" spans="2:30" ht="15.75" customHeight="1">
      <c r="B77" s="15"/>
      <c r="C77" s="15"/>
      <c r="D77" s="15"/>
      <c r="E77" s="15"/>
      <c r="F77" s="15"/>
      <c r="G77" s="15"/>
      <c r="AD77" s="15"/>
    </row>
    <row r="78" spans="2:30" ht="15.75" customHeight="1">
      <c r="B78" s="15"/>
      <c r="C78" s="15"/>
      <c r="D78" s="15"/>
      <c r="E78" s="15"/>
      <c r="F78" s="15"/>
      <c r="G78" s="15"/>
      <c r="AD78" s="15"/>
    </row>
    <row r="79" spans="2:30" ht="15.75" customHeight="1">
      <c r="B79" s="15"/>
      <c r="C79" s="15"/>
      <c r="D79" s="15"/>
      <c r="E79" s="15"/>
      <c r="F79" s="15"/>
      <c r="G79" s="15"/>
      <c r="AD79" s="15"/>
    </row>
    <row r="80" spans="2:30" ht="15.75" customHeight="1">
      <c r="B80" s="15"/>
      <c r="C80" s="15"/>
      <c r="D80" s="15"/>
      <c r="E80" s="15"/>
      <c r="F80" s="15"/>
      <c r="G80" s="15"/>
      <c r="AD80" s="15"/>
    </row>
    <row r="81" spans="2:30" ht="15.75" customHeight="1">
      <c r="B81" s="15"/>
      <c r="C81" s="15"/>
      <c r="D81" s="15"/>
      <c r="E81" s="15"/>
      <c r="F81" s="15"/>
      <c r="G81" s="15"/>
      <c r="AD81" s="15"/>
    </row>
    <row r="82" spans="2:30" ht="15.75" customHeight="1">
      <c r="B82" s="15"/>
      <c r="C82" s="15"/>
      <c r="D82" s="15"/>
      <c r="E82" s="15"/>
      <c r="F82" s="15"/>
      <c r="G82" s="15"/>
      <c r="AD82" s="15"/>
    </row>
    <row r="83" spans="2:30" ht="15.75" customHeight="1">
      <c r="B83" s="15"/>
      <c r="C83" s="15"/>
      <c r="D83" s="15"/>
      <c r="E83" s="15"/>
      <c r="F83" s="15"/>
      <c r="G83" s="15"/>
      <c r="AD83" s="15"/>
    </row>
    <row r="84" spans="2:30" ht="15.75" customHeight="1">
      <c r="B84" s="15"/>
      <c r="C84" s="15"/>
      <c r="D84" s="15"/>
      <c r="E84" s="15"/>
      <c r="F84" s="15"/>
      <c r="G84" s="15"/>
      <c r="AD84" s="15"/>
    </row>
    <row r="85" spans="2:30" ht="15.75" customHeight="1">
      <c r="B85" s="15"/>
      <c r="C85" s="15"/>
      <c r="D85" s="15"/>
      <c r="E85" s="15"/>
      <c r="F85" s="15"/>
      <c r="G85" s="15"/>
      <c r="AD85" s="15"/>
    </row>
    <row r="86" spans="2:30" ht="15.75" customHeight="1">
      <c r="B86" s="15"/>
      <c r="C86" s="15"/>
      <c r="D86" s="15"/>
      <c r="E86" s="15"/>
      <c r="F86" s="15"/>
      <c r="G86" s="15"/>
      <c r="AD86" s="15"/>
    </row>
    <row r="87" spans="2:30" ht="15.75" customHeight="1">
      <c r="B87" s="15"/>
      <c r="C87" s="15"/>
      <c r="D87" s="15"/>
      <c r="E87" s="15"/>
      <c r="F87" s="15"/>
      <c r="G87" s="15"/>
      <c r="AD87" s="15"/>
    </row>
    <row r="88" spans="2:30" ht="15.75" customHeight="1">
      <c r="B88" s="15"/>
      <c r="C88" s="15"/>
      <c r="D88" s="15"/>
      <c r="E88" s="15"/>
      <c r="F88" s="15"/>
      <c r="G88" s="15"/>
      <c r="AD88" s="15"/>
    </row>
    <row r="89" spans="2:30" ht="15.75" customHeight="1">
      <c r="B89" s="15"/>
      <c r="C89" s="15"/>
      <c r="D89" s="15"/>
      <c r="E89" s="15"/>
      <c r="F89" s="15"/>
      <c r="G89" s="15"/>
      <c r="AD89" s="15"/>
    </row>
    <row r="90" spans="2:30" ht="15.75" customHeight="1">
      <c r="B90" s="15"/>
      <c r="C90" s="15"/>
      <c r="D90" s="15"/>
      <c r="E90" s="15"/>
      <c r="F90" s="15"/>
      <c r="G90" s="15"/>
      <c r="AD90" s="15"/>
    </row>
    <row r="91" spans="2:30" ht="15.75" customHeight="1">
      <c r="B91" s="15"/>
      <c r="C91" s="15"/>
      <c r="D91" s="15"/>
      <c r="E91" s="15"/>
      <c r="F91" s="15"/>
      <c r="G91" s="15"/>
      <c r="AD91" s="15"/>
    </row>
    <row r="92" spans="2:30" ht="15.75" customHeight="1">
      <c r="B92" s="15"/>
      <c r="C92" s="15"/>
      <c r="D92" s="15"/>
      <c r="E92" s="15"/>
      <c r="F92" s="15"/>
      <c r="G92" s="15"/>
      <c r="AD92" s="15"/>
    </row>
    <row r="93" spans="2:30" ht="15.75" customHeight="1">
      <c r="B93" s="15"/>
      <c r="C93" s="15"/>
      <c r="D93" s="15"/>
      <c r="E93" s="15"/>
      <c r="F93" s="15"/>
      <c r="G93" s="15"/>
      <c r="AD93" s="15"/>
    </row>
    <row r="94" spans="2:30" ht="15.75" customHeight="1">
      <c r="B94" s="15"/>
      <c r="C94" s="15"/>
      <c r="D94" s="15"/>
      <c r="E94" s="15"/>
      <c r="F94" s="15"/>
      <c r="G94" s="15"/>
      <c r="AD94" s="15"/>
    </row>
    <row r="95" spans="2:30" ht="15.75" customHeight="1">
      <c r="B95" s="15"/>
      <c r="C95" s="15"/>
      <c r="D95" s="15"/>
      <c r="E95" s="15"/>
      <c r="F95" s="15"/>
      <c r="G95" s="15"/>
      <c r="AD95" s="15"/>
    </row>
    <row r="96" spans="2:30" ht="15.75" customHeight="1">
      <c r="B96" s="15"/>
      <c r="C96" s="15"/>
      <c r="D96" s="15"/>
      <c r="E96" s="15"/>
      <c r="F96" s="15"/>
      <c r="G96" s="15"/>
      <c r="AD96" s="15"/>
    </row>
    <row r="97" spans="2:30" ht="15.75" customHeight="1">
      <c r="B97" s="15"/>
      <c r="C97" s="15"/>
      <c r="D97" s="15"/>
      <c r="E97" s="15"/>
      <c r="F97" s="15"/>
      <c r="G97" s="15"/>
      <c r="AD97" s="15"/>
    </row>
    <row r="98" spans="2:30" ht="15.75" customHeight="1">
      <c r="B98" s="15"/>
      <c r="C98" s="15"/>
      <c r="D98" s="15"/>
      <c r="E98" s="15"/>
      <c r="F98" s="15"/>
      <c r="G98" s="15"/>
      <c r="AD98" s="15"/>
    </row>
    <row r="99" spans="2:30" ht="15.75" customHeight="1">
      <c r="B99" s="15"/>
      <c r="C99" s="15"/>
      <c r="D99" s="15"/>
      <c r="E99" s="15"/>
      <c r="F99" s="15"/>
      <c r="G99" s="15"/>
      <c r="AD99" s="15"/>
    </row>
    <row r="100" spans="2:30" ht="15.75" customHeight="1">
      <c r="B100" s="15"/>
      <c r="C100" s="15"/>
      <c r="D100" s="15"/>
      <c r="E100" s="15"/>
      <c r="F100" s="15"/>
      <c r="G100" s="15"/>
      <c r="AD100" s="15"/>
    </row>
    <row r="101" spans="2:30" ht="15.75" customHeight="1">
      <c r="B101" s="15"/>
      <c r="C101" s="15"/>
      <c r="D101" s="15"/>
      <c r="E101" s="15"/>
      <c r="F101" s="15"/>
      <c r="G101" s="15"/>
      <c r="AD101" s="15"/>
    </row>
    <row r="102" spans="2:30" ht="15.75" customHeight="1">
      <c r="B102" s="15"/>
      <c r="C102" s="15"/>
      <c r="D102" s="15"/>
      <c r="E102" s="15"/>
      <c r="F102" s="15"/>
      <c r="G102" s="15"/>
      <c r="AD102" s="15"/>
    </row>
    <row r="103" spans="2:30" ht="15.75" customHeight="1">
      <c r="B103" s="15"/>
      <c r="C103" s="15"/>
      <c r="D103" s="15"/>
      <c r="E103" s="15"/>
      <c r="F103" s="15"/>
      <c r="G103" s="15"/>
      <c r="AD103" s="15"/>
    </row>
    <row r="104" spans="2:30" ht="15.75" customHeight="1">
      <c r="B104" s="15"/>
      <c r="C104" s="15"/>
      <c r="D104" s="15"/>
      <c r="E104" s="15"/>
      <c r="F104" s="15"/>
      <c r="G104" s="15"/>
      <c r="AD104" s="15"/>
    </row>
    <row r="105" spans="2:30" ht="15.75" customHeight="1">
      <c r="B105" s="15"/>
      <c r="C105" s="15"/>
      <c r="D105" s="15"/>
      <c r="E105" s="15"/>
      <c r="F105" s="15"/>
      <c r="G105" s="15"/>
      <c r="AD105" s="15"/>
    </row>
    <row r="106" spans="2:30" ht="15.75" customHeight="1">
      <c r="B106" s="15"/>
      <c r="C106" s="15"/>
      <c r="D106" s="15"/>
      <c r="E106" s="15"/>
      <c r="F106" s="15"/>
      <c r="G106" s="15"/>
      <c r="AD106" s="15"/>
    </row>
    <row r="107" spans="2:30" ht="15.75" customHeight="1">
      <c r="B107" s="15"/>
      <c r="C107" s="15"/>
      <c r="D107" s="15"/>
      <c r="E107" s="15"/>
      <c r="F107" s="15"/>
      <c r="G107" s="15"/>
      <c r="AD107" s="15"/>
    </row>
    <row r="108" spans="2:30" ht="15.75" customHeight="1">
      <c r="B108" s="15"/>
      <c r="C108" s="15"/>
      <c r="D108" s="15"/>
      <c r="E108" s="15"/>
      <c r="F108" s="15"/>
      <c r="G108" s="15"/>
      <c r="AD108" s="15"/>
    </row>
    <row r="109" spans="2:30" ht="15.75" customHeight="1">
      <c r="B109" s="15"/>
      <c r="C109" s="15"/>
      <c r="D109" s="15"/>
      <c r="E109" s="15"/>
      <c r="F109" s="15"/>
      <c r="G109" s="15"/>
      <c r="AD109" s="15"/>
    </row>
    <row r="110" spans="2:30" ht="15.75" customHeight="1">
      <c r="B110" s="15"/>
      <c r="C110" s="15"/>
      <c r="D110" s="15"/>
      <c r="E110" s="15"/>
      <c r="F110" s="15"/>
      <c r="G110" s="15"/>
      <c r="AD110" s="15"/>
    </row>
    <row r="111" spans="2:30" ht="15.75" customHeight="1">
      <c r="B111" s="15"/>
      <c r="C111" s="15"/>
      <c r="D111" s="15"/>
      <c r="E111" s="15"/>
      <c r="F111" s="15"/>
      <c r="G111" s="15"/>
      <c r="AD111" s="15"/>
    </row>
    <row r="112" spans="2:30" ht="15.75" customHeight="1">
      <c r="B112" s="15"/>
      <c r="C112" s="15"/>
      <c r="D112" s="15"/>
      <c r="E112" s="15"/>
      <c r="F112" s="15"/>
      <c r="G112" s="15"/>
      <c r="AD112" s="15"/>
    </row>
    <row r="113" spans="2:30" ht="15.75" customHeight="1">
      <c r="B113" s="15"/>
      <c r="C113" s="15"/>
      <c r="D113" s="15"/>
      <c r="E113" s="15"/>
      <c r="F113" s="15"/>
      <c r="G113" s="15"/>
      <c r="AD113" s="15"/>
    </row>
    <row r="114" spans="2:30" ht="15.75" customHeight="1">
      <c r="B114" s="15"/>
      <c r="C114" s="15"/>
      <c r="D114" s="15"/>
      <c r="E114" s="15"/>
      <c r="F114" s="15"/>
      <c r="G114" s="15"/>
      <c r="AD114" s="15"/>
    </row>
    <row r="115" spans="2:30" ht="15.75" customHeight="1">
      <c r="B115" s="15"/>
      <c r="C115" s="15"/>
      <c r="D115" s="15"/>
      <c r="E115" s="15"/>
      <c r="F115" s="15"/>
      <c r="G115" s="15"/>
      <c r="AD115" s="15"/>
    </row>
    <row r="116" spans="2:30" ht="15.75" customHeight="1">
      <c r="B116" s="15"/>
      <c r="C116" s="15"/>
      <c r="D116" s="15"/>
      <c r="E116" s="15"/>
      <c r="F116" s="15"/>
      <c r="G116" s="15"/>
      <c r="AD116" s="15"/>
    </row>
    <row r="117" spans="2:30" ht="15.75" customHeight="1">
      <c r="B117" s="15"/>
      <c r="C117" s="15"/>
      <c r="D117" s="15"/>
      <c r="E117" s="15"/>
      <c r="F117" s="15"/>
      <c r="G117" s="15"/>
      <c r="AD117" s="15"/>
    </row>
    <row r="118" spans="2:30" ht="15.75" customHeight="1">
      <c r="B118" s="15"/>
      <c r="C118" s="15"/>
      <c r="D118" s="15"/>
      <c r="E118" s="15"/>
      <c r="F118" s="15"/>
      <c r="G118" s="15"/>
      <c r="AD118" s="15"/>
    </row>
    <row r="119" spans="2:30" ht="15.75" customHeight="1">
      <c r="B119" s="15"/>
      <c r="C119" s="15"/>
      <c r="D119" s="15"/>
      <c r="E119" s="15"/>
      <c r="F119" s="15"/>
      <c r="G119" s="15"/>
      <c r="AD119" s="15"/>
    </row>
    <row r="120" spans="2:30" ht="15.75" customHeight="1">
      <c r="B120" s="15"/>
      <c r="C120" s="15"/>
      <c r="D120" s="15"/>
      <c r="E120" s="15"/>
      <c r="F120" s="15"/>
      <c r="G120" s="15"/>
      <c r="AD120" s="15"/>
    </row>
    <row r="121" spans="2:30" ht="15.75" customHeight="1">
      <c r="B121" s="15"/>
      <c r="C121" s="15"/>
      <c r="D121" s="15"/>
      <c r="E121" s="15"/>
      <c r="F121" s="15"/>
      <c r="G121" s="15"/>
      <c r="AD121" s="15"/>
    </row>
    <row r="122" spans="2:30" ht="15.75" customHeight="1">
      <c r="B122" s="15"/>
      <c r="C122" s="15"/>
      <c r="D122" s="15"/>
      <c r="E122" s="15"/>
      <c r="F122" s="15"/>
      <c r="G122" s="15"/>
      <c r="AD122" s="15"/>
    </row>
    <row r="123" spans="2:30" ht="15.75" customHeight="1">
      <c r="B123" s="15"/>
      <c r="C123" s="15"/>
      <c r="D123" s="15"/>
      <c r="E123" s="15"/>
      <c r="F123" s="15"/>
      <c r="G123" s="15"/>
      <c r="AD123" s="15"/>
    </row>
    <row r="124" spans="2:30" ht="15.75" customHeight="1">
      <c r="B124" s="15"/>
      <c r="C124" s="15"/>
      <c r="D124" s="15"/>
      <c r="E124" s="15"/>
      <c r="F124" s="15"/>
      <c r="G124" s="15"/>
      <c r="AD124" s="15"/>
    </row>
    <row r="125" spans="2:30" ht="15.75" customHeight="1">
      <c r="B125" s="15"/>
      <c r="C125" s="15"/>
      <c r="D125" s="15"/>
      <c r="E125" s="15"/>
      <c r="F125" s="15"/>
      <c r="G125" s="15"/>
      <c r="AD125" s="15"/>
    </row>
    <row r="126" spans="2:30" ht="15.75" customHeight="1">
      <c r="B126" s="15"/>
      <c r="C126" s="15"/>
      <c r="D126" s="15"/>
      <c r="E126" s="15"/>
      <c r="F126" s="15"/>
      <c r="G126" s="15"/>
      <c r="AD126" s="15"/>
    </row>
    <row r="127" spans="2:30" ht="15.75" customHeight="1">
      <c r="B127" s="15"/>
      <c r="C127" s="15"/>
      <c r="D127" s="15"/>
      <c r="E127" s="15"/>
      <c r="F127" s="15"/>
      <c r="G127" s="15"/>
      <c r="AD127" s="15"/>
    </row>
    <row r="128" spans="2:30" ht="15.75" customHeight="1">
      <c r="B128" s="15"/>
      <c r="C128" s="15"/>
      <c r="D128" s="15"/>
      <c r="E128" s="15"/>
      <c r="F128" s="15"/>
      <c r="G128" s="15"/>
      <c r="AD128" s="15"/>
    </row>
    <row r="129" spans="2:30" ht="15.75" customHeight="1">
      <c r="B129" s="15"/>
      <c r="C129" s="15"/>
      <c r="D129" s="15"/>
      <c r="E129" s="15"/>
      <c r="F129" s="15"/>
      <c r="G129" s="15"/>
      <c r="AD129" s="15"/>
    </row>
    <row r="130" spans="2:30" ht="15.75" customHeight="1">
      <c r="B130" s="15"/>
      <c r="C130" s="15"/>
      <c r="D130" s="15"/>
      <c r="E130" s="15"/>
      <c r="F130" s="15"/>
      <c r="G130" s="15"/>
      <c r="AD130" s="15"/>
    </row>
    <row r="131" spans="2:30" ht="15.75" customHeight="1">
      <c r="B131" s="15"/>
      <c r="C131" s="15"/>
      <c r="D131" s="15"/>
      <c r="E131" s="15"/>
      <c r="F131" s="15"/>
      <c r="G131" s="15"/>
      <c r="AD131" s="15"/>
    </row>
    <row r="132" spans="2:30" ht="15.75" customHeight="1">
      <c r="B132" s="15"/>
      <c r="C132" s="15"/>
      <c r="D132" s="15"/>
      <c r="E132" s="15"/>
      <c r="F132" s="15"/>
      <c r="G132" s="15"/>
      <c r="AD132" s="15"/>
    </row>
    <row r="133" spans="2:30" ht="15.75" customHeight="1">
      <c r="B133" s="15"/>
      <c r="C133" s="15"/>
      <c r="D133" s="15"/>
      <c r="E133" s="15"/>
      <c r="F133" s="15"/>
      <c r="G133" s="15"/>
      <c r="AD133" s="15"/>
    </row>
    <row r="134" spans="2:30" ht="15.75" customHeight="1">
      <c r="B134" s="15"/>
      <c r="C134" s="15"/>
      <c r="D134" s="15"/>
      <c r="E134" s="15"/>
      <c r="F134" s="15"/>
      <c r="G134" s="15"/>
      <c r="AD134" s="15"/>
    </row>
    <row r="135" spans="2:30" ht="15.75" customHeight="1">
      <c r="B135" s="15"/>
      <c r="C135" s="15"/>
      <c r="D135" s="15"/>
      <c r="E135" s="15"/>
      <c r="F135" s="15"/>
      <c r="G135" s="15"/>
      <c r="AD135" s="15"/>
    </row>
    <row r="136" spans="2:30" ht="15.75" customHeight="1">
      <c r="B136" s="15"/>
      <c r="C136" s="15"/>
      <c r="D136" s="15"/>
      <c r="E136" s="15"/>
      <c r="F136" s="15"/>
      <c r="G136" s="15"/>
      <c r="AD136" s="15"/>
    </row>
    <row r="137" spans="2:30" ht="15.75" customHeight="1">
      <c r="B137" s="15"/>
      <c r="C137" s="15"/>
      <c r="D137" s="15"/>
      <c r="E137" s="15"/>
      <c r="F137" s="15"/>
      <c r="G137" s="15"/>
      <c r="AD137" s="15"/>
    </row>
    <row r="138" spans="2:30" ht="15.75" customHeight="1">
      <c r="B138" s="15"/>
      <c r="C138" s="15"/>
      <c r="D138" s="15"/>
      <c r="E138" s="15"/>
      <c r="F138" s="15"/>
      <c r="G138" s="15"/>
      <c r="AD138" s="15"/>
    </row>
    <row r="139" spans="2:30" ht="15.75" customHeight="1">
      <c r="B139" s="15"/>
      <c r="C139" s="15"/>
      <c r="D139" s="15"/>
      <c r="E139" s="15"/>
      <c r="F139" s="15"/>
      <c r="G139" s="15"/>
      <c r="AD139" s="15"/>
    </row>
    <row r="140" spans="2:30" ht="15.75" customHeight="1">
      <c r="B140" s="15"/>
      <c r="C140" s="15"/>
      <c r="D140" s="15"/>
      <c r="E140" s="15"/>
      <c r="F140" s="15"/>
      <c r="G140" s="15"/>
      <c r="AD140" s="15"/>
    </row>
    <row r="141" spans="2:30" ht="15.75" customHeight="1">
      <c r="B141" s="15"/>
      <c r="C141" s="15"/>
      <c r="D141" s="15"/>
      <c r="E141" s="15"/>
      <c r="F141" s="15"/>
      <c r="G141" s="15"/>
      <c r="AD141" s="15"/>
    </row>
    <row r="142" spans="2:30" ht="15.75" customHeight="1">
      <c r="B142" s="15"/>
      <c r="C142" s="15"/>
      <c r="D142" s="15"/>
      <c r="E142" s="15"/>
      <c r="F142" s="15"/>
      <c r="G142" s="15"/>
      <c r="AD142" s="15"/>
    </row>
    <row r="143" spans="2:30" ht="15.75" customHeight="1">
      <c r="B143" s="15"/>
      <c r="C143" s="15"/>
      <c r="D143" s="15"/>
      <c r="E143" s="15"/>
      <c r="F143" s="15"/>
      <c r="G143" s="15"/>
      <c r="AD143" s="15"/>
    </row>
    <row r="144" spans="2:30" ht="15.75" customHeight="1">
      <c r="B144" s="15"/>
      <c r="C144" s="15"/>
      <c r="D144" s="15"/>
      <c r="E144" s="15"/>
      <c r="F144" s="15"/>
      <c r="G144" s="15"/>
      <c r="AD144" s="15"/>
    </row>
    <row r="145" spans="2:30" ht="15.75" customHeight="1">
      <c r="B145" s="15"/>
      <c r="C145" s="15"/>
      <c r="D145" s="15"/>
      <c r="E145" s="15"/>
      <c r="F145" s="15"/>
      <c r="G145" s="15"/>
      <c r="AD145" s="15"/>
    </row>
    <row r="146" spans="2:30" ht="15.75" customHeight="1">
      <c r="B146" s="15"/>
      <c r="C146" s="15"/>
      <c r="D146" s="15"/>
      <c r="E146" s="15"/>
      <c r="F146" s="15"/>
      <c r="G146" s="15"/>
      <c r="AD146" s="15"/>
    </row>
    <row r="147" spans="2:30" ht="15.75" customHeight="1">
      <c r="B147" s="15"/>
      <c r="C147" s="15"/>
      <c r="D147" s="15"/>
      <c r="E147" s="15"/>
      <c r="F147" s="15"/>
      <c r="G147" s="15"/>
      <c r="AD147" s="15"/>
    </row>
    <row r="148" spans="2:30" ht="15.75" customHeight="1">
      <c r="B148" s="15"/>
      <c r="C148" s="15"/>
      <c r="D148" s="15"/>
      <c r="E148" s="15"/>
      <c r="F148" s="15"/>
      <c r="G148" s="15"/>
      <c r="AD148" s="15"/>
    </row>
    <row r="149" spans="2:30" ht="15.75" customHeight="1">
      <c r="B149" s="15"/>
      <c r="C149" s="15"/>
      <c r="D149" s="15"/>
      <c r="E149" s="15"/>
      <c r="F149" s="15"/>
      <c r="G149" s="15"/>
      <c r="AD149" s="15"/>
    </row>
    <row r="150" spans="2:30" ht="15.75" customHeight="1">
      <c r="B150" s="15"/>
      <c r="C150" s="15"/>
      <c r="D150" s="15"/>
      <c r="E150" s="15"/>
      <c r="F150" s="15"/>
      <c r="G150" s="15"/>
      <c r="AD150" s="15"/>
    </row>
    <row r="151" spans="2:30" ht="15.75" customHeight="1">
      <c r="B151" s="15"/>
      <c r="C151" s="15"/>
      <c r="D151" s="15"/>
      <c r="E151" s="15"/>
      <c r="F151" s="15"/>
      <c r="G151" s="15"/>
      <c r="AD151" s="15"/>
    </row>
    <row r="152" spans="2:30" ht="15.75" customHeight="1">
      <c r="B152" s="15"/>
      <c r="C152" s="15"/>
      <c r="D152" s="15"/>
      <c r="E152" s="15"/>
      <c r="F152" s="15"/>
      <c r="G152" s="15"/>
      <c r="AD152" s="15"/>
    </row>
    <row r="153" spans="2:30" ht="15.75" customHeight="1">
      <c r="B153" s="15"/>
      <c r="C153" s="15"/>
      <c r="D153" s="15"/>
      <c r="E153" s="15"/>
      <c r="F153" s="15"/>
      <c r="G153" s="15"/>
      <c r="AD153" s="15"/>
    </row>
    <row r="154" spans="2:30" ht="15.75" customHeight="1">
      <c r="B154" s="15"/>
      <c r="C154" s="15"/>
      <c r="D154" s="15"/>
      <c r="E154" s="15"/>
      <c r="F154" s="15"/>
      <c r="G154" s="15"/>
      <c r="AD154" s="15"/>
    </row>
    <row r="155" spans="2:30" ht="15.75" customHeight="1">
      <c r="B155" s="15"/>
      <c r="C155" s="15"/>
      <c r="D155" s="15"/>
      <c r="E155" s="15"/>
      <c r="F155" s="15"/>
      <c r="G155" s="15"/>
      <c r="AD155" s="15"/>
    </row>
    <row r="156" spans="2:30" ht="15.75" customHeight="1">
      <c r="B156" s="15"/>
      <c r="C156" s="15"/>
      <c r="D156" s="15"/>
      <c r="E156" s="15"/>
      <c r="F156" s="15"/>
      <c r="G156" s="15"/>
      <c r="AD156" s="15"/>
    </row>
    <row r="157" spans="2:30" ht="15.75" customHeight="1">
      <c r="B157" s="15"/>
      <c r="C157" s="15"/>
      <c r="D157" s="15"/>
      <c r="E157" s="15"/>
      <c r="F157" s="15"/>
      <c r="G157" s="15"/>
      <c r="AD157" s="15"/>
    </row>
    <row r="158" spans="2:30" ht="15.75" customHeight="1">
      <c r="B158" s="15"/>
      <c r="C158" s="15"/>
      <c r="D158" s="15"/>
      <c r="E158" s="15"/>
      <c r="F158" s="15"/>
      <c r="G158" s="15"/>
      <c r="AD158" s="15"/>
    </row>
    <row r="159" spans="2:30" ht="15.75" customHeight="1">
      <c r="B159" s="15"/>
      <c r="C159" s="15"/>
      <c r="D159" s="15"/>
      <c r="E159" s="15"/>
      <c r="F159" s="15"/>
      <c r="G159" s="15"/>
      <c r="AD159" s="15"/>
    </row>
    <row r="160" spans="2:30" ht="15.75" customHeight="1">
      <c r="B160" s="15"/>
      <c r="C160" s="15"/>
      <c r="D160" s="15"/>
      <c r="E160" s="15"/>
      <c r="F160" s="15"/>
      <c r="G160" s="15"/>
      <c r="AD160" s="15"/>
    </row>
    <row r="161" spans="2:30" ht="15.75" customHeight="1">
      <c r="B161" s="15"/>
      <c r="C161" s="15"/>
      <c r="D161" s="15"/>
      <c r="E161" s="15"/>
      <c r="F161" s="15"/>
      <c r="G161" s="15"/>
      <c r="AD161" s="15"/>
    </row>
    <row r="162" spans="2:30" ht="15.75" customHeight="1">
      <c r="B162" s="15"/>
      <c r="C162" s="15"/>
      <c r="D162" s="15"/>
      <c r="E162" s="15"/>
      <c r="F162" s="15"/>
      <c r="G162" s="15"/>
      <c r="AD162" s="15"/>
    </row>
    <row r="163" spans="2:30" ht="15.75" customHeight="1">
      <c r="B163" s="15"/>
      <c r="C163" s="15"/>
      <c r="D163" s="15"/>
      <c r="E163" s="15"/>
      <c r="F163" s="15"/>
      <c r="G163" s="15"/>
      <c r="AD163" s="15"/>
    </row>
    <row r="164" spans="2:30" ht="15.75" customHeight="1">
      <c r="B164" s="15"/>
      <c r="C164" s="15"/>
      <c r="D164" s="15"/>
      <c r="E164" s="15"/>
      <c r="F164" s="15"/>
      <c r="G164" s="15"/>
      <c r="AD164" s="15"/>
    </row>
    <row r="165" spans="2:30" ht="15.75" customHeight="1">
      <c r="B165" s="15"/>
      <c r="C165" s="15"/>
      <c r="D165" s="15"/>
      <c r="E165" s="15"/>
      <c r="F165" s="15"/>
      <c r="G165" s="15"/>
      <c r="AD165" s="15"/>
    </row>
    <row r="166" spans="2:30" ht="15.75" customHeight="1">
      <c r="B166" s="15"/>
      <c r="C166" s="15"/>
      <c r="D166" s="15"/>
      <c r="E166" s="15"/>
      <c r="F166" s="15"/>
      <c r="G166" s="15"/>
      <c r="AD166" s="15"/>
    </row>
    <row r="167" spans="2:30" ht="15.75" customHeight="1">
      <c r="B167" s="15"/>
      <c r="C167" s="15"/>
      <c r="D167" s="15"/>
      <c r="E167" s="15"/>
      <c r="F167" s="15"/>
      <c r="G167" s="15"/>
      <c r="AD167" s="15"/>
    </row>
    <row r="168" spans="2:30" ht="15.75" customHeight="1">
      <c r="B168" s="15"/>
      <c r="C168" s="15"/>
      <c r="D168" s="15"/>
      <c r="E168" s="15"/>
      <c r="F168" s="15"/>
      <c r="G168" s="15"/>
      <c r="AD168" s="15"/>
    </row>
    <row r="169" spans="2:30" ht="15.75" customHeight="1">
      <c r="B169" s="15"/>
      <c r="C169" s="15"/>
      <c r="D169" s="15"/>
      <c r="E169" s="15"/>
      <c r="F169" s="15"/>
      <c r="G169" s="15"/>
      <c r="AD169" s="15"/>
    </row>
    <row r="170" spans="2:30" ht="15.75" customHeight="1">
      <c r="B170" s="15"/>
      <c r="C170" s="15"/>
      <c r="D170" s="15"/>
      <c r="E170" s="15"/>
      <c r="F170" s="15"/>
      <c r="G170" s="15"/>
      <c r="AD170" s="15"/>
    </row>
    <row r="171" spans="2:30" ht="15.75" customHeight="1">
      <c r="B171" s="15"/>
      <c r="C171" s="15"/>
      <c r="D171" s="15"/>
      <c r="E171" s="15"/>
      <c r="F171" s="15"/>
      <c r="G171" s="15"/>
      <c r="AD171" s="15"/>
    </row>
    <row r="172" spans="2:30" ht="15.75" customHeight="1">
      <c r="B172" s="15"/>
      <c r="C172" s="15"/>
      <c r="D172" s="15"/>
      <c r="E172" s="15"/>
      <c r="F172" s="15"/>
      <c r="G172" s="15"/>
      <c r="AD172" s="15"/>
    </row>
    <row r="173" spans="2:30" ht="15.75" customHeight="1">
      <c r="B173" s="15"/>
      <c r="C173" s="15"/>
      <c r="D173" s="15"/>
      <c r="E173" s="15"/>
      <c r="F173" s="15"/>
      <c r="G173" s="15"/>
      <c r="AD173" s="15"/>
    </row>
    <row r="174" spans="2:30" ht="15.75" customHeight="1">
      <c r="B174" s="15"/>
      <c r="C174" s="15"/>
      <c r="D174" s="15"/>
      <c r="E174" s="15"/>
      <c r="F174" s="15"/>
      <c r="G174" s="15"/>
      <c r="AD174" s="15"/>
    </row>
    <row r="175" spans="2:30" ht="15.75" customHeight="1">
      <c r="B175" s="15"/>
      <c r="C175" s="15"/>
      <c r="D175" s="15"/>
      <c r="E175" s="15"/>
      <c r="F175" s="15"/>
      <c r="G175" s="15"/>
      <c r="AD175" s="15"/>
    </row>
    <row r="176" spans="2:30" ht="15.75" customHeight="1">
      <c r="B176" s="15"/>
      <c r="C176" s="15"/>
      <c r="D176" s="15"/>
      <c r="E176" s="15"/>
      <c r="F176" s="15"/>
      <c r="G176" s="15"/>
      <c r="AD176" s="15"/>
    </row>
    <row r="177" spans="2:30" ht="15.75" customHeight="1">
      <c r="B177" s="15"/>
      <c r="C177" s="15"/>
      <c r="D177" s="15"/>
      <c r="E177" s="15"/>
      <c r="F177" s="15"/>
      <c r="G177" s="15"/>
      <c r="AD177" s="15"/>
    </row>
    <row r="178" spans="2:30" ht="15.75" customHeight="1">
      <c r="B178" s="15"/>
      <c r="C178" s="15"/>
      <c r="D178" s="15"/>
      <c r="E178" s="15"/>
      <c r="F178" s="15"/>
      <c r="G178" s="15"/>
      <c r="AD178" s="15"/>
    </row>
    <row r="179" spans="2:30" ht="15.75" customHeight="1">
      <c r="B179" s="15"/>
      <c r="C179" s="15"/>
      <c r="D179" s="15"/>
      <c r="E179" s="15"/>
      <c r="F179" s="15"/>
      <c r="G179" s="15"/>
      <c r="AD179" s="15"/>
    </row>
    <row r="180" spans="2:30" ht="15.75" customHeight="1">
      <c r="B180" s="15"/>
      <c r="C180" s="15"/>
      <c r="D180" s="15"/>
      <c r="E180" s="15"/>
      <c r="F180" s="15"/>
      <c r="G180" s="15"/>
      <c r="AD180" s="15"/>
    </row>
    <row r="181" spans="2:30" ht="15.75" customHeight="1">
      <c r="B181" s="15"/>
      <c r="C181" s="15"/>
      <c r="D181" s="15"/>
      <c r="E181" s="15"/>
      <c r="F181" s="15"/>
      <c r="G181" s="15"/>
      <c r="AD181" s="15"/>
    </row>
    <row r="182" spans="2:30" ht="15.75" customHeight="1">
      <c r="B182" s="15"/>
      <c r="C182" s="15"/>
      <c r="D182" s="15"/>
      <c r="E182" s="15"/>
      <c r="F182" s="15"/>
      <c r="G182" s="15"/>
      <c r="AD182" s="15"/>
    </row>
    <row r="183" spans="2:30" ht="15.75" customHeight="1">
      <c r="B183" s="15"/>
      <c r="C183" s="15"/>
      <c r="D183" s="15"/>
      <c r="E183" s="15"/>
      <c r="F183" s="15"/>
      <c r="G183" s="15"/>
      <c r="AD183" s="15"/>
    </row>
    <row r="184" spans="2:30" ht="15.75" customHeight="1">
      <c r="B184" s="15"/>
      <c r="C184" s="15"/>
      <c r="D184" s="15"/>
      <c r="E184" s="15"/>
      <c r="F184" s="15"/>
      <c r="G184" s="15"/>
      <c r="AD184" s="15"/>
    </row>
    <row r="185" spans="2:30" ht="15.75" customHeight="1">
      <c r="B185" s="15"/>
      <c r="C185" s="15"/>
      <c r="D185" s="15"/>
      <c r="E185" s="15"/>
      <c r="F185" s="15"/>
      <c r="G185" s="15"/>
      <c r="AD185" s="15"/>
    </row>
    <row r="186" spans="2:30" ht="15.75" customHeight="1">
      <c r="B186" s="15"/>
      <c r="C186" s="15"/>
      <c r="D186" s="15"/>
      <c r="E186" s="15"/>
      <c r="F186" s="15"/>
      <c r="G186" s="15"/>
      <c r="AD186" s="15"/>
    </row>
    <row r="187" spans="2:30" ht="15.75" customHeight="1">
      <c r="B187" s="15"/>
      <c r="C187" s="15"/>
      <c r="D187" s="15"/>
      <c r="E187" s="15"/>
      <c r="F187" s="15"/>
      <c r="G187" s="15"/>
      <c r="AD187" s="15"/>
    </row>
    <row r="188" spans="2:30" ht="15.75" customHeight="1">
      <c r="B188" s="15"/>
      <c r="C188" s="15"/>
      <c r="D188" s="15"/>
      <c r="E188" s="15"/>
      <c r="F188" s="15"/>
      <c r="G188" s="15"/>
      <c r="AD188" s="15"/>
    </row>
    <row r="189" spans="2:30" ht="15.75" customHeight="1">
      <c r="B189" s="15"/>
      <c r="C189" s="15"/>
      <c r="D189" s="15"/>
      <c r="E189" s="15"/>
      <c r="F189" s="15"/>
      <c r="G189" s="15"/>
      <c r="AD189" s="15"/>
    </row>
    <row r="190" spans="2:30" ht="15.75" customHeight="1">
      <c r="B190" s="15"/>
      <c r="C190" s="15"/>
      <c r="D190" s="15"/>
      <c r="E190" s="15"/>
      <c r="F190" s="15"/>
      <c r="G190" s="15"/>
      <c r="AD190" s="15"/>
    </row>
    <row r="191" spans="2:30" ht="15.75" customHeight="1">
      <c r="B191" s="15"/>
      <c r="C191" s="15"/>
      <c r="D191" s="15"/>
      <c r="E191" s="15"/>
      <c r="F191" s="15"/>
      <c r="G191" s="15"/>
      <c r="AD191" s="15"/>
    </row>
    <row r="192" spans="2:30" ht="15.75" customHeight="1">
      <c r="B192" s="15"/>
      <c r="C192" s="15"/>
      <c r="D192" s="15"/>
      <c r="E192" s="15"/>
      <c r="F192" s="15"/>
      <c r="G192" s="15"/>
      <c r="AD192" s="15"/>
    </row>
    <row r="193" spans="2:30" ht="15.75" customHeight="1">
      <c r="B193" s="15"/>
      <c r="C193" s="15"/>
      <c r="D193" s="15"/>
      <c r="E193" s="15"/>
      <c r="F193" s="15"/>
      <c r="G193" s="15"/>
      <c r="AD193" s="15"/>
    </row>
    <row r="194" spans="2:30" ht="15.75" customHeight="1">
      <c r="B194" s="15"/>
      <c r="C194" s="15"/>
      <c r="D194" s="15"/>
      <c r="E194" s="15"/>
      <c r="F194" s="15"/>
      <c r="G194" s="15"/>
      <c r="AD194" s="15"/>
    </row>
    <row r="195" spans="2:30" ht="15.75" customHeight="1">
      <c r="B195" s="15"/>
      <c r="C195" s="15"/>
      <c r="D195" s="15"/>
      <c r="E195" s="15"/>
      <c r="F195" s="15"/>
      <c r="G195" s="15"/>
      <c r="AD195" s="15"/>
    </row>
    <row r="196" spans="2:30" ht="15.75" customHeight="1">
      <c r="B196" s="15"/>
      <c r="C196" s="15"/>
      <c r="D196" s="15"/>
      <c r="E196" s="15"/>
      <c r="F196" s="15"/>
      <c r="G196" s="15"/>
      <c r="AD196" s="15"/>
    </row>
    <row r="197" spans="2:30" ht="15.75" customHeight="1">
      <c r="B197" s="15"/>
      <c r="C197" s="15"/>
      <c r="D197" s="15"/>
      <c r="E197" s="15"/>
      <c r="F197" s="15"/>
      <c r="G197" s="15"/>
      <c r="AD197" s="15"/>
    </row>
    <row r="198" spans="2:30" ht="15.75" customHeight="1">
      <c r="B198" s="15"/>
      <c r="C198" s="15"/>
      <c r="D198" s="15"/>
      <c r="E198" s="15"/>
      <c r="F198" s="15"/>
      <c r="G198" s="15"/>
      <c r="AD198" s="15"/>
    </row>
    <row r="199" spans="2:30" ht="15.75" customHeight="1">
      <c r="B199" s="15"/>
      <c r="C199" s="15"/>
      <c r="D199" s="15"/>
      <c r="E199" s="15"/>
      <c r="F199" s="15"/>
      <c r="G199" s="15"/>
      <c r="AD199" s="15"/>
    </row>
    <row r="200" spans="2:30" ht="15.75" customHeight="1">
      <c r="B200" s="15"/>
      <c r="C200" s="15"/>
      <c r="D200" s="15"/>
      <c r="E200" s="15"/>
      <c r="F200" s="15"/>
      <c r="G200" s="15"/>
      <c r="AD200" s="15"/>
    </row>
    <row r="201" spans="2:30" ht="15.75" customHeight="1">
      <c r="B201" s="15"/>
      <c r="C201" s="15"/>
      <c r="D201" s="15"/>
      <c r="E201" s="15"/>
      <c r="F201" s="15"/>
      <c r="G201" s="15"/>
      <c r="AD201" s="15"/>
    </row>
    <row r="202" spans="2:30" ht="15.75" customHeight="1">
      <c r="B202" s="15"/>
      <c r="C202" s="15"/>
      <c r="D202" s="15"/>
      <c r="E202" s="15"/>
      <c r="F202" s="15"/>
      <c r="G202" s="15"/>
      <c r="AD202" s="15"/>
    </row>
    <row r="203" spans="2:30" ht="15.75" customHeight="1">
      <c r="B203" s="15"/>
      <c r="C203" s="15"/>
      <c r="D203" s="15"/>
      <c r="E203" s="15"/>
      <c r="F203" s="15"/>
      <c r="G203" s="15"/>
      <c r="AD203" s="15"/>
    </row>
    <row r="204" spans="2:30" ht="15.75" customHeight="1">
      <c r="B204" s="15"/>
      <c r="C204" s="15"/>
      <c r="D204" s="15"/>
      <c r="E204" s="15"/>
      <c r="F204" s="15"/>
      <c r="G204" s="15"/>
      <c r="AD204" s="15"/>
    </row>
    <row r="205" spans="2:30" ht="15.75" customHeight="1">
      <c r="B205" s="15"/>
      <c r="C205" s="15"/>
      <c r="D205" s="15"/>
      <c r="E205" s="15"/>
      <c r="F205" s="15"/>
      <c r="G205" s="15"/>
      <c r="AD205" s="15"/>
    </row>
    <row r="206" spans="2:30" ht="15.75" customHeight="1">
      <c r="B206" s="15"/>
      <c r="C206" s="15"/>
      <c r="D206" s="15"/>
      <c r="E206" s="15"/>
      <c r="F206" s="15"/>
      <c r="G206" s="15"/>
      <c r="AD206" s="15"/>
    </row>
    <row r="207" spans="2:30" ht="15.75" customHeight="1">
      <c r="B207" s="15"/>
      <c r="C207" s="15"/>
      <c r="D207" s="15"/>
      <c r="E207" s="15"/>
      <c r="F207" s="15"/>
      <c r="G207" s="15"/>
      <c r="AD207" s="15"/>
    </row>
    <row r="208" spans="2:30" ht="15.75" customHeight="1">
      <c r="B208" s="15"/>
      <c r="C208" s="15"/>
      <c r="D208" s="15"/>
      <c r="E208" s="15"/>
      <c r="F208" s="15"/>
      <c r="G208" s="15"/>
      <c r="AD208" s="15"/>
    </row>
    <row r="209" spans="2:30" ht="15.75" customHeight="1">
      <c r="B209" s="15"/>
      <c r="C209" s="15"/>
      <c r="D209" s="15"/>
      <c r="E209" s="15"/>
      <c r="F209" s="15"/>
      <c r="G209" s="15"/>
      <c r="AD209" s="15"/>
    </row>
    <row r="210" spans="2:30" ht="15.75" customHeight="1">
      <c r="B210" s="15"/>
      <c r="C210" s="15"/>
      <c r="D210" s="15"/>
      <c r="E210" s="15"/>
      <c r="F210" s="15"/>
      <c r="G210" s="15"/>
      <c r="AD210" s="15"/>
    </row>
    <row r="211" spans="2:30" ht="15.75" customHeight="1">
      <c r="B211" s="15"/>
      <c r="C211" s="15"/>
      <c r="D211" s="15"/>
      <c r="E211" s="15"/>
      <c r="F211" s="15"/>
      <c r="G211" s="15"/>
      <c r="AD211" s="15"/>
    </row>
    <row r="212" spans="2:30" ht="15.75" customHeight="1">
      <c r="B212" s="15"/>
      <c r="C212" s="15"/>
      <c r="D212" s="15"/>
      <c r="E212" s="15"/>
      <c r="F212" s="15"/>
      <c r="G212" s="15"/>
      <c r="AD212" s="15"/>
    </row>
    <row r="213" spans="2:30" ht="15.75" customHeight="1">
      <c r="B213" s="15"/>
      <c r="C213" s="15"/>
      <c r="D213" s="15"/>
      <c r="E213" s="15"/>
      <c r="F213" s="15"/>
      <c r="G213" s="15"/>
      <c r="AD213" s="15"/>
    </row>
    <row r="214" spans="2:30" ht="15.75" customHeight="1">
      <c r="B214" s="15"/>
      <c r="C214" s="15"/>
      <c r="D214" s="15"/>
      <c r="E214" s="15"/>
      <c r="F214" s="15"/>
      <c r="G214" s="15"/>
      <c r="AD214" s="15"/>
    </row>
    <row r="215" spans="2:30" ht="15.75" customHeight="1">
      <c r="B215" s="15"/>
      <c r="C215" s="15"/>
      <c r="D215" s="15"/>
      <c r="E215" s="15"/>
      <c r="F215" s="15"/>
      <c r="G215" s="15"/>
      <c r="AD215" s="15"/>
    </row>
    <row r="216" spans="2:30" ht="15.75" customHeight="1">
      <c r="B216" s="15"/>
      <c r="C216" s="15"/>
      <c r="D216" s="15"/>
      <c r="E216" s="15"/>
      <c r="F216" s="15"/>
      <c r="G216" s="15"/>
      <c r="AD216" s="15"/>
    </row>
    <row r="217" spans="2:30" ht="15.75" customHeight="1">
      <c r="B217" s="15"/>
      <c r="C217" s="15"/>
      <c r="D217" s="15"/>
      <c r="E217" s="15"/>
      <c r="F217" s="15"/>
      <c r="G217" s="15"/>
      <c r="AD217" s="15"/>
    </row>
    <row r="218" spans="2:30" ht="15.75" customHeight="1">
      <c r="B218" s="15"/>
      <c r="C218" s="15"/>
      <c r="D218" s="15"/>
      <c r="E218" s="15"/>
      <c r="F218" s="15"/>
      <c r="G218" s="15"/>
      <c r="AD218" s="15"/>
    </row>
    <row r="219" spans="2:30" ht="15.75" customHeight="1">
      <c r="B219" s="15"/>
      <c r="C219" s="15"/>
      <c r="D219" s="15"/>
      <c r="E219" s="15"/>
      <c r="F219" s="15"/>
      <c r="G219" s="15"/>
      <c r="AD219" s="15"/>
    </row>
    <row r="220" spans="2:30" ht="15.75" customHeight="1">
      <c r="B220" s="15"/>
      <c r="C220" s="15"/>
      <c r="D220" s="15"/>
      <c r="E220" s="15"/>
      <c r="F220" s="15"/>
      <c r="G220" s="15"/>
      <c r="AD220" s="15"/>
    </row>
    <row r="221" spans="2:30" ht="15.75" customHeight="1">
      <c r="B221" s="15"/>
      <c r="C221" s="15"/>
      <c r="D221" s="15"/>
      <c r="E221" s="15"/>
      <c r="F221" s="15"/>
      <c r="G221" s="15"/>
      <c r="AD221" s="15"/>
    </row>
    <row r="222" spans="2:30" ht="15.75" customHeight="1">
      <c r="B222" s="15"/>
      <c r="C222" s="15"/>
      <c r="D222" s="15"/>
      <c r="E222" s="15"/>
      <c r="F222" s="15"/>
      <c r="G222" s="15"/>
      <c r="AD222" s="15"/>
    </row>
    <row r="223" spans="2:30" ht="15.75" customHeight="1">
      <c r="B223" s="15"/>
      <c r="C223" s="15"/>
      <c r="D223" s="15"/>
      <c r="E223" s="15"/>
      <c r="F223" s="15"/>
      <c r="G223" s="15"/>
      <c r="AD223" s="15"/>
    </row>
    <row r="224" spans="2:30" ht="15.75" customHeight="1">
      <c r="B224" s="15"/>
      <c r="C224" s="15"/>
      <c r="D224" s="15"/>
      <c r="E224" s="15"/>
      <c r="F224" s="15"/>
      <c r="G224" s="15"/>
      <c r="AD224" s="15"/>
    </row>
    <row r="225" spans="2:30" ht="15.75" customHeight="1">
      <c r="B225" s="15"/>
      <c r="C225" s="15"/>
      <c r="D225" s="15"/>
      <c r="E225" s="15"/>
      <c r="F225" s="15"/>
      <c r="G225" s="15"/>
      <c r="AD225" s="15"/>
    </row>
    <row r="226" spans="2:30" ht="15.75" customHeight="1">
      <c r="B226" s="15"/>
      <c r="C226" s="15"/>
      <c r="D226" s="15"/>
      <c r="E226" s="15"/>
      <c r="F226" s="15"/>
      <c r="G226" s="15"/>
      <c r="AD226" s="15"/>
    </row>
    <row r="227" spans="2:30" ht="15.75" customHeight="1">
      <c r="B227" s="15"/>
      <c r="C227" s="15"/>
      <c r="D227" s="15"/>
      <c r="E227" s="15"/>
      <c r="F227" s="15"/>
      <c r="G227" s="15"/>
      <c r="AD227" s="15"/>
    </row>
    <row r="228" spans="2:30" ht="15.75" customHeight="1">
      <c r="B228" s="15"/>
      <c r="C228" s="15"/>
      <c r="D228" s="15"/>
      <c r="E228" s="15"/>
      <c r="F228" s="15"/>
      <c r="G228" s="15"/>
      <c r="AD228" s="15"/>
    </row>
    <row r="229" spans="2:30" ht="15.75" customHeight="1">
      <c r="B229" s="15"/>
      <c r="C229" s="15"/>
      <c r="D229" s="15"/>
      <c r="E229" s="15"/>
      <c r="F229" s="15"/>
      <c r="G229" s="15"/>
      <c r="AD229" s="15"/>
    </row>
    <row r="230" spans="2:30" ht="15.75" customHeight="1">
      <c r="B230" s="15"/>
      <c r="C230" s="15"/>
      <c r="D230" s="15"/>
      <c r="E230" s="15"/>
      <c r="F230" s="15"/>
      <c r="G230" s="15"/>
      <c r="AD230" s="15"/>
    </row>
    <row r="231" spans="2:30" ht="15.75" customHeight="1">
      <c r="B231" s="15"/>
      <c r="C231" s="15"/>
      <c r="D231" s="15"/>
      <c r="E231" s="15"/>
      <c r="F231" s="15"/>
      <c r="G231" s="15"/>
      <c r="AD231" s="15"/>
    </row>
    <row r="232" spans="2:30" ht="15.75" customHeight="1">
      <c r="B232" s="15"/>
      <c r="C232" s="15"/>
      <c r="D232" s="15"/>
      <c r="E232" s="15"/>
      <c r="F232" s="15"/>
      <c r="G232" s="15"/>
      <c r="AD232" s="15"/>
    </row>
    <row r="233" spans="2:30" ht="15.75" customHeight="1">
      <c r="B233" s="15"/>
      <c r="C233" s="15"/>
      <c r="D233" s="15"/>
      <c r="E233" s="15"/>
      <c r="F233" s="15"/>
      <c r="G233" s="15"/>
      <c r="AD233" s="15"/>
    </row>
    <row r="234" spans="2:30" ht="15.75" customHeight="1">
      <c r="B234" s="15"/>
      <c r="C234" s="15"/>
      <c r="D234" s="15"/>
      <c r="E234" s="15"/>
      <c r="F234" s="15"/>
      <c r="G234" s="15"/>
      <c r="AD234" s="15"/>
    </row>
    <row r="235" spans="2:30" ht="15.75" customHeight="1">
      <c r="B235" s="15"/>
      <c r="C235" s="15"/>
      <c r="D235" s="15"/>
      <c r="E235" s="15"/>
      <c r="F235" s="15"/>
      <c r="G235" s="15"/>
      <c r="AD235" s="15"/>
    </row>
    <row r="236" spans="2:30" ht="15.75" customHeight="1">
      <c r="B236" s="15"/>
      <c r="C236" s="15"/>
      <c r="D236" s="15"/>
      <c r="E236" s="15"/>
      <c r="F236" s="15"/>
      <c r="G236" s="15"/>
      <c r="AD236" s="15"/>
    </row>
    <row r="237" spans="2:30" ht="15.75" customHeight="1">
      <c r="B237" s="15"/>
      <c r="C237" s="15"/>
      <c r="D237" s="15"/>
      <c r="E237" s="15"/>
      <c r="F237" s="15"/>
      <c r="G237" s="15"/>
      <c r="AD237" s="15"/>
    </row>
    <row r="238" spans="2:30" ht="15.75" customHeight="1">
      <c r="B238" s="15"/>
      <c r="C238" s="15"/>
      <c r="D238" s="15"/>
      <c r="E238" s="15"/>
      <c r="F238" s="15"/>
      <c r="G238" s="15"/>
      <c r="AD238" s="15"/>
    </row>
    <row r="239" spans="2:30" ht="15.75" customHeight="1">
      <c r="B239" s="15"/>
      <c r="C239" s="15"/>
      <c r="D239" s="15"/>
      <c r="E239" s="15"/>
      <c r="F239" s="15"/>
      <c r="G239" s="15"/>
      <c r="AD239" s="15"/>
    </row>
    <row r="240" spans="2:30" ht="15.75" customHeight="1">
      <c r="B240" s="15"/>
      <c r="C240" s="15"/>
      <c r="D240" s="15"/>
      <c r="E240" s="15"/>
      <c r="F240" s="15"/>
      <c r="G240" s="15"/>
      <c r="AD240" s="15"/>
    </row>
    <row r="241" spans="2:30" ht="15.75" customHeight="1">
      <c r="B241" s="15"/>
      <c r="C241" s="15"/>
      <c r="D241" s="15"/>
      <c r="E241" s="15"/>
      <c r="F241" s="15"/>
      <c r="G241" s="15"/>
      <c r="AD241" s="15"/>
    </row>
    <row r="242" spans="2:30" ht="15.75" customHeight="1">
      <c r="B242" s="15"/>
      <c r="C242" s="15"/>
      <c r="D242" s="15"/>
      <c r="E242" s="15"/>
      <c r="F242" s="15"/>
      <c r="G242" s="15"/>
      <c r="AD242" s="15"/>
    </row>
    <row r="243" spans="2:30" ht="15.75" customHeight="1">
      <c r="B243" s="15"/>
      <c r="C243" s="15"/>
      <c r="D243" s="15"/>
      <c r="E243" s="15"/>
      <c r="F243" s="15"/>
      <c r="G243" s="15"/>
      <c r="AD243" s="15"/>
    </row>
    <row r="244" spans="2:30" ht="15.75" customHeight="1">
      <c r="B244" s="15"/>
      <c r="C244" s="15"/>
      <c r="D244" s="15"/>
      <c r="E244" s="15"/>
      <c r="F244" s="15"/>
      <c r="G244" s="15"/>
      <c r="AD244" s="15"/>
    </row>
    <row r="245" spans="2:30" ht="15.75" customHeight="1">
      <c r="B245" s="15"/>
      <c r="C245" s="15"/>
      <c r="D245" s="15"/>
      <c r="E245" s="15"/>
      <c r="F245" s="15"/>
      <c r="G245" s="15"/>
      <c r="AD245" s="15"/>
    </row>
    <row r="246" spans="2:30" ht="15.75" customHeight="1">
      <c r="B246" s="15"/>
      <c r="C246" s="15"/>
      <c r="D246" s="15"/>
      <c r="E246" s="15"/>
      <c r="F246" s="15"/>
      <c r="G246" s="15"/>
      <c r="AD246" s="15"/>
    </row>
    <row r="247" spans="2:30" ht="15.75" customHeight="1">
      <c r="B247" s="15"/>
      <c r="C247" s="15"/>
      <c r="D247" s="15"/>
      <c r="E247" s="15"/>
      <c r="F247" s="15"/>
      <c r="G247" s="15"/>
      <c r="AD247" s="15"/>
    </row>
    <row r="248" spans="2:30" ht="15.75" customHeight="1">
      <c r="B248" s="15"/>
      <c r="C248" s="15"/>
      <c r="D248" s="15"/>
      <c r="E248" s="15"/>
      <c r="F248" s="15"/>
      <c r="G248" s="15"/>
      <c r="AD248" s="15"/>
    </row>
    <row r="249" spans="2:30" ht="15.75" customHeight="1">
      <c r="B249" s="15"/>
      <c r="C249" s="15"/>
      <c r="D249" s="15"/>
      <c r="E249" s="15"/>
      <c r="F249" s="15"/>
      <c r="G249" s="15"/>
      <c r="AD249" s="15"/>
    </row>
    <row r="250" spans="2:30" ht="15.75" customHeight="1">
      <c r="B250" s="15"/>
      <c r="C250" s="15"/>
      <c r="D250" s="15"/>
      <c r="E250" s="15"/>
      <c r="F250" s="15"/>
      <c r="G250" s="15"/>
      <c r="AD250" s="15"/>
    </row>
    <row r="251" spans="2:30" ht="15.75" customHeight="1">
      <c r="B251" s="15"/>
      <c r="C251" s="15"/>
      <c r="D251" s="15"/>
      <c r="E251" s="15"/>
      <c r="F251" s="15"/>
      <c r="G251" s="15"/>
      <c r="AD251" s="15"/>
    </row>
    <row r="252" spans="2:30" ht="15.75" customHeight="1">
      <c r="B252" s="15"/>
      <c r="C252" s="15"/>
      <c r="D252" s="15"/>
      <c r="E252" s="15"/>
      <c r="F252" s="15"/>
      <c r="G252" s="15"/>
      <c r="AD252" s="15"/>
    </row>
    <row r="253" spans="2:30" ht="15.75" customHeight="1">
      <c r="B253" s="15"/>
      <c r="C253" s="15"/>
      <c r="D253" s="15"/>
      <c r="E253" s="15"/>
      <c r="F253" s="15"/>
      <c r="G253" s="15"/>
      <c r="AD253" s="15"/>
    </row>
    <row r="254" spans="2:30" ht="15.75" customHeight="1">
      <c r="B254" s="15"/>
      <c r="C254" s="15"/>
      <c r="D254" s="15"/>
      <c r="E254" s="15"/>
      <c r="F254" s="15"/>
      <c r="G254" s="15"/>
      <c r="AD254" s="15"/>
    </row>
    <row r="255" spans="2:30" ht="15.75" customHeight="1">
      <c r="B255" s="15"/>
      <c r="C255" s="15"/>
      <c r="D255" s="15"/>
      <c r="E255" s="15"/>
      <c r="F255" s="15"/>
      <c r="G255" s="15"/>
      <c r="AD255" s="15"/>
    </row>
    <row r="256" spans="2:30" ht="15.75" customHeight="1">
      <c r="B256" s="15"/>
      <c r="C256" s="15"/>
      <c r="D256" s="15"/>
      <c r="E256" s="15"/>
      <c r="F256" s="15"/>
      <c r="G256" s="15"/>
      <c r="AD256" s="15"/>
    </row>
    <row r="257" spans="2:30" ht="15.75" customHeight="1">
      <c r="B257" s="15"/>
      <c r="C257" s="15"/>
      <c r="D257" s="15"/>
      <c r="E257" s="15"/>
      <c r="F257" s="15"/>
      <c r="G257" s="15"/>
      <c r="AD257" s="15"/>
    </row>
    <row r="258" spans="2:30" ht="15.75" customHeight="1">
      <c r="B258" s="15"/>
      <c r="C258" s="15"/>
      <c r="D258" s="15"/>
      <c r="E258" s="15"/>
      <c r="F258" s="15"/>
      <c r="G258" s="15"/>
      <c r="AD258" s="15"/>
    </row>
    <row r="259" spans="2:30" ht="15.75" customHeight="1">
      <c r="B259" s="15"/>
      <c r="C259" s="15"/>
      <c r="D259" s="15"/>
      <c r="E259" s="15"/>
      <c r="F259" s="15"/>
      <c r="G259" s="15"/>
      <c r="AD259" s="15"/>
    </row>
    <row r="260" spans="2:30" ht="15.75" customHeight="1">
      <c r="B260" s="15"/>
      <c r="C260" s="15"/>
      <c r="D260" s="15"/>
      <c r="E260" s="15"/>
      <c r="F260" s="15"/>
      <c r="G260" s="15"/>
      <c r="AD260" s="15"/>
    </row>
    <row r="261" spans="2:30" ht="15.75" customHeight="1">
      <c r="G261" s="15"/>
      <c r="AD261" s="15"/>
    </row>
    <row r="262" spans="2:30" ht="15.75" customHeight="1">
      <c r="G262" s="15"/>
      <c r="AD262" s="15"/>
    </row>
    <row r="263" spans="2:30" ht="15.75" customHeight="1">
      <c r="G263" s="15"/>
      <c r="AD263" s="15"/>
    </row>
    <row r="264" spans="2:30" ht="15.75" customHeight="1">
      <c r="G264" s="15"/>
      <c r="AD264" s="15"/>
    </row>
    <row r="265" spans="2:30" ht="15.75" customHeight="1">
      <c r="G265" s="15"/>
      <c r="AD265" s="15"/>
    </row>
    <row r="266" spans="2:30" ht="15.75" customHeight="1">
      <c r="G266" s="15"/>
      <c r="AD266" s="15"/>
    </row>
    <row r="267" spans="2:30" ht="15.75" customHeight="1">
      <c r="G267" s="15"/>
      <c r="AD267" s="15"/>
    </row>
    <row r="268" spans="2:30" ht="15.75" customHeight="1">
      <c r="G268" s="15"/>
      <c r="AD268" s="15"/>
    </row>
    <row r="269" spans="2:30" ht="15.75" customHeight="1">
      <c r="G269" s="15"/>
      <c r="AD269" s="15"/>
    </row>
    <row r="270" spans="2:30" ht="15.75" customHeight="1">
      <c r="G270" s="15"/>
      <c r="AD270" s="15"/>
    </row>
    <row r="271" spans="2:30" ht="15.75" customHeight="1">
      <c r="G271" s="15"/>
      <c r="AD271" s="15"/>
    </row>
    <row r="272" spans="2:30" ht="15.75" customHeight="1">
      <c r="G272" s="15"/>
      <c r="AD272" s="15"/>
    </row>
    <row r="273" spans="7:30" ht="15.75" customHeight="1">
      <c r="G273" s="15"/>
      <c r="AD273" s="15"/>
    </row>
    <row r="274" spans="7:30" ht="15.75" customHeight="1">
      <c r="G274" s="15"/>
      <c r="AD274" s="15"/>
    </row>
    <row r="275" spans="7:30" ht="15.75" customHeight="1">
      <c r="G275" s="15"/>
      <c r="AD275" s="15"/>
    </row>
    <row r="276" spans="7:30" ht="15.75" customHeight="1">
      <c r="G276" s="15"/>
      <c r="AD276" s="15"/>
    </row>
    <row r="277" spans="7:30" ht="15.75" customHeight="1">
      <c r="G277" s="15"/>
      <c r="AD277" s="15"/>
    </row>
    <row r="278" spans="7:30" ht="15.75" customHeight="1">
      <c r="G278" s="15"/>
      <c r="AD278" s="15"/>
    </row>
    <row r="279" spans="7:30" ht="15.75" customHeight="1">
      <c r="G279" s="15"/>
      <c r="AD279" s="15"/>
    </row>
    <row r="280" spans="7:30" ht="15.75" customHeight="1">
      <c r="G280" s="15"/>
      <c r="AD280" s="15"/>
    </row>
    <row r="281" spans="7:30" ht="15.75" customHeight="1">
      <c r="G281" s="15"/>
      <c r="AD281" s="15"/>
    </row>
    <row r="282" spans="7:30" ht="15.75" customHeight="1">
      <c r="G282" s="15"/>
      <c r="AD282" s="15"/>
    </row>
    <row r="283" spans="7:30" ht="15.75" customHeight="1">
      <c r="G283" s="15"/>
      <c r="AD283" s="15"/>
    </row>
    <row r="284" spans="7:30" ht="15.75" customHeight="1">
      <c r="G284" s="15"/>
      <c r="AD284" s="15"/>
    </row>
    <row r="285" spans="7:30" ht="15.75" customHeight="1">
      <c r="G285" s="15"/>
      <c r="AD285" s="15"/>
    </row>
    <row r="286" spans="7:30" ht="15.75" customHeight="1">
      <c r="G286" s="15"/>
      <c r="AD286" s="15"/>
    </row>
    <row r="287" spans="7:30" ht="15.75" customHeight="1">
      <c r="G287" s="15"/>
      <c r="AD287" s="15"/>
    </row>
    <row r="288" spans="7:30" ht="15.75" customHeight="1">
      <c r="G288" s="15"/>
      <c r="AD288" s="15"/>
    </row>
    <row r="289" spans="7:30" ht="15.75" customHeight="1">
      <c r="G289" s="15"/>
      <c r="AD289" s="15"/>
    </row>
    <row r="290" spans="7:30" ht="15.75" customHeight="1">
      <c r="G290" s="15"/>
      <c r="AD290" s="15"/>
    </row>
    <row r="291" spans="7:30" ht="15.75" customHeight="1">
      <c r="G291" s="15"/>
      <c r="AD291" s="15"/>
    </row>
    <row r="292" spans="7:30" ht="15.75" customHeight="1">
      <c r="G292" s="15"/>
      <c r="AD292" s="15"/>
    </row>
    <row r="293" spans="7:30" ht="15.75" customHeight="1">
      <c r="G293" s="15"/>
      <c r="AD293" s="15"/>
    </row>
    <row r="294" spans="7:30" ht="15.75" customHeight="1">
      <c r="G294" s="15"/>
      <c r="AD294" s="15"/>
    </row>
    <row r="295" spans="7:30" ht="15.75" customHeight="1">
      <c r="G295" s="15"/>
      <c r="AD295" s="15"/>
    </row>
    <row r="296" spans="7:30" ht="15.75" customHeight="1">
      <c r="G296" s="15"/>
      <c r="AD296" s="15"/>
    </row>
    <row r="297" spans="7:30" ht="15.75" customHeight="1">
      <c r="G297" s="15"/>
      <c r="AD297" s="15"/>
    </row>
    <row r="298" spans="7:30" ht="15.75" customHeight="1">
      <c r="G298" s="15"/>
      <c r="AD298" s="15"/>
    </row>
    <row r="299" spans="7:30" ht="15.75" customHeight="1">
      <c r="G299" s="15"/>
      <c r="AD299" s="15"/>
    </row>
    <row r="300" spans="7:30" ht="15.75" customHeight="1">
      <c r="G300" s="15"/>
      <c r="AD300" s="15"/>
    </row>
    <row r="301" spans="7:30" ht="15.75" customHeight="1">
      <c r="G301" s="15"/>
      <c r="AD301" s="15"/>
    </row>
    <row r="302" spans="7:30" ht="15.75" customHeight="1">
      <c r="G302" s="15"/>
      <c r="AD302" s="15"/>
    </row>
    <row r="303" spans="7:30" ht="15.75" customHeight="1">
      <c r="G303" s="15"/>
      <c r="AD303" s="15"/>
    </row>
    <row r="304" spans="7:30" ht="15.75" customHeight="1">
      <c r="G304" s="15"/>
      <c r="AD304" s="15"/>
    </row>
    <row r="305" spans="7:30" ht="15.75" customHeight="1">
      <c r="G305" s="15"/>
      <c r="AD305" s="15"/>
    </row>
    <row r="306" spans="7:30" ht="15.75" customHeight="1">
      <c r="G306" s="15"/>
      <c r="AD306" s="15"/>
    </row>
    <row r="307" spans="7:30" ht="15.75" customHeight="1">
      <c r="G307" s="15"/>
      <c r="AD307" s="15"/>
    </row>
    <row r="308" spans="7:30" ht="15.75" customHeight="1">
      <c r="G308" s="15"/>
      <c r="AD308" s="15"/>
    </row>
    <row r="309" spans="7:30" ht="15.75" customHeight="1">
      <c r="G309" s="15"/>
      <c r="AD309" s="15"/>
    </row>
    <row r="310" spans="7:30" ht="15.75" customHeight="1">
      <c r="G310" s="15"/>
      <c r="AD310" s="15"/>
    </row>
    <row r="311" spans="7:30" ht="15.75" customHeight="1">
      <c r="G311" s="15"/>
      <c r="AD311" s="15"/>
    </row>
    <row r="312" spans="7:30" ht="15.75" customHeight="1">
      <c r="G312" s="15"/>
      <c r="AD312" s="15"/>
    </row>
    <row r="313" spans="7:30" ht="15.75" customHeight="1">
      <c r="G313" s="15"/>
      <c r="AD313" s="15"/>
    </row>
    <row r="314" spans="7:30" ht="15.75" customHeight="1">
      <c r="G314" s="15"/>
      <c r="AD314" s="15"/>
    </row>
    <row r="315" spans="7:30" ht="15.75" customHeight="1">
      <c r="G315" s="15"/>
      <c r="AD315" s="15"/>
    </row>
    <row r="316" spans="7:30" ht="15.75" customHeight="1">
      <c r="G316" s="15"/>
      <c r="AD316" s="15"/>
    </row>
    <row r="317" spans="7:30" ht="15.75" customHeight="1">
      <c r="G317" s="15"/>
      <c r="AD317" s="15"/>
    </row>
    <row r="318" spans="7:30" ht="15.75" customHeight="1">
      <c r="G318" s="15"/>
      <c r="AD318" s="15"/>
    </row>
    <row r="319" spans="7:30" ht="15.75" customHeight="1">
      <c r="G319" s="15"/>
      <c r="AD319" s="15"/>
    </row>
    <row r="320" spans="7:30" ht="15.75" customHeight="1">
      <c r="G320" s="15"/>
      <c r="AD320" s="15"/>
    </row>
    <row r="321" spans="7:30" ht="15.75" customHeight="1">
      <c r="G321" s="15"/>
      <c r="AD321" s="15"/>
    </row>
    <row r="322" spans="7:30" ht="15.75" customHeight="1">
      <c r="G322" s="15"/>
      <c r="AD322" s="15"/>
    </row>
    <row r="323" spans="7:30" ht="15.75" customHeight="1">
      <c r="G323" s="15"/>
      <c r="AD323" s="15"/>
    </row>
    <row r="324" spans="7:30" ht="15.75" customHeight="1">
      <c r="G324" s="15"/>
      <c r="AD324" s="15"/>
    </row>
    <row r="325" spans="7:30" ht="15.75" customHeight="1">
      <c r="G325" s="15"/>
      <c r="AD325" s="15"/>
    </row>
    <row r="326" spans="7:30" ht="15.75" customHeight="1">
      <c r="G326" s="15"/>
      <c r="AD326" s="15"/>
    </row>
    <row r="327" spans="7:30" ht="15.75" customHeight="1">
      <c r="G327" s="15"/>
      <c r="AD327" s="15"/>
    </row>
    <row r="328" spans="7:30" ht="15.75" customHeight="1">
      <c r="G328" s="15"/>
      <c r="AD328" s="15"/>
    </row>
    <row r="329" spans="7:30" ht="15.75" customHeight="1">
      <c r="G329" s="15"/>
      <c r="AD329" s="15"/>
    </row>
    <row r="330" spans="7:30" ht="15.75" customHeight="1">
      <c r="G330" s="15"/>
      <c r="AD330" s="15"/>
    </row>
    <row r="331" spans="7:30" ht="15.75" customHeight="1">
      <c r="G331" s="15"/>
      <c r="AD331" s="15"/>
    </row>
    <row r="332" spans="7:30" ht="15.75" customHeight="1">
      <c r="G332" s="15"/>
      <c r="AD332" s="15"/>
    </row>
    <row r="333" spans="7:30" ht="15.75" customHeight="1">
      <c r="G333" s="15"/>
      <c r="AD333" s="15"/>
    </row>
    <row r="334" spans="7:30" ht="15.75" customHeight="1">
      <c r="G334" s="15"/>
      <c r="AD334" s="15"/>
    </row>
    <row r="335" spans="7:30" ht="15.75" customHeight="1">
      <c r="G335" s="15"/>
      <c r="AD335" s="15"/>
    </row>
    <row r="336" spans="7:30" ht="15.75" customHeight="1">
      <c r="G336" s="15"/>
      <c r="AD336" s="15"/>
    </row>
    <row r="337" spans="7:30" ht="15.75" customHeight="1">
      <c r="G337" s="15"/>
      <c r="AD337" s="15"/>
    </row>
    <row r="338" spans="7:30" ht="15.75" customHeight="1">
      <c r="G338" s="15"/>
      <c r="AD338" s="15"/>
    </row>
    <row r="339" spans="7:30" ht="15.75" customHeight="1">
      <c r="G339" s="15"/>
      <c r="AD339" s="15"/>
    </row>
    <row r="340" spans="7:30" ht="15.75" customHeight="1">
      <c r="G340" s="15"/>
      <c r="AD340" s="15"/>
    </row>
    <row r="341" spans="7:30" ht="15.75" customHeight="1">
      <c r="G341" s="15"/>
      <c r="AD341" s="15"/>
    </row>
    <row r="342" spans="7:30" ht="15.75" customHeight="1">
      <c r="G342" s="15"/>
      <c r="AD342" s="15"/>
    </row>
    <row r="343" spans="7:30" ht="15.75" customHeight="1">
      <c r="G343" s="15"/>
      <c r="AD343" s="15"/>
    </row>
    <row r="344" spans="7:30" ht="15.75" customHeight="1">
      <c r="G344" s="15"/>
      <c r="AD344" s="15"/>
    </row>
    <row r="345" spans="7:30" ht="15.75" customHeight="1">
      <c r="G345" s="15"/>
      <c r="AD345" s="15"/>
    </row>
    <row r="346" spans="7:30" ht="15.75" customHeight="1">
      <c r="G346" s="15"/>
      <c r="AD346" s="15"/>
    </row>
    <row r="347" spans="7:30" ht="15.75" customHeight="1">
      <c r="G347" s="15"/>
      <c r="AD347" s="15"/>
    </row>
    <row r="348" spans="7:30" ht="15.75" customHeight="1">
      <c r="G348" s="15"/>
      <c r="AD348" s="15"/>
    </row>
    <row r="349" spans="7:30" ht="15.75" customHeight="1">
      <c r="G349" s="15"/>
      <c r="AD349" s="15"/>
    </row>
    <row r="350" spans="7:30" ht="15.75" customHeight="1">
      <c r="G350" s="15"/>
      <c r="AD350" s="15"/>
    </row>
    <row r="351" spans="7:30" ht="15.75" customHeight="1">
      <c r="G351" s="15"/>
      <c r="AD351" s="15"/>
    </row>
    <row r="352" spans="7:30" ht="15.75" customHeight="1">
      <c r="G352" s="15"/>
      <c r="AD352" s="15"/>
    </row>
    <row r="353" spans="7:30" ht="15.75" customHeight="1">
      <c r="G353" s="15"/>
      <c r="AD353" s="15"/>
    </row>
    <row r="354" spans="7:30" ht="15.75" customHeight="1">
      <c r="G354" s="15"/>
      <c r="AD354" s="15"/>
    </row>
    <row r="355" spans="7:30" ht="15.75" customHeight="1">
      <c r="G355" s="15"/>
      <c r="AD355" s="15"/>
    </row>
    <row r="356" spans="7:30" ht="15.75" customHeight="1">
      <c r="G356" s="15"/>
      <c r="AD356" s="15"/>
    </row>
    <row r="357" spans="7:30" ht="15.75" customHeight="1">
      <c r="G357" s="15"/>
      <c r="AD357" s="15"/>
    </row>
    <row r="358" spans="7:30" ht="15.75" customHeight="1">
      <c r="G358" s="15"/>
      <c r="AD358" s="15"/>
    </row>
    <row r="359" spans="7:30" ht="15.75" customHeight="1">
      <c r="G359" s="15"/>
      <c r="AD359" s="15"/>
    </row>
    <row r="360" spans="7:30" ht="15.75" customHeight="1">
      <c r="G360" s="15"/>
      <c r="AD360" s="15"/>
    </row>
    <row r="361" spans="7:30" ht="15.75" customHeight="1">
      <c r="G361" s="15"/>
      <c r="AD361" s="15"/>
    </row>
    <row r="362" spans="7:30" ht="15.75" customHeight="1">
      <c r="G362" s="15"/>
      <c r="AD362" s="15"/>
    </row>
    <row r="363" spans="7:30" ht="15.75" customHeight="1">
      <c r="G363" s="15"/>
      <c r="AD363" s="15"/>
    </row>
    <row r="364" spans="7:30" ht="15.75" customHeight="1">
      <c r="G364" s="15"/>
      <c r="AD364" s="15"/>
    </row>
    <row r="365" spans="7:30" ht="15.75" customHeight="1">
      <c r="G365" s="15"/>
      <c r="AD365" s="15"/>
    </row>
    <row r="366" spans="7:30" ht="15.75" customHeight="1">
      <c r="G366" s="15"/>
      <c r="AD366" s="15"/>
    </row>
    <row r="367" spans="7:30" ht="15.75" customHeight="1">
      <c r="G367" s="15"/>
      <c r="AD367" s="15"/>
    </row>
    <row r="368" spans="7:30" ht="15.75" customHeight="1">
      <c r="G368" s="15"/>
      <c r="AD368" s="15"/>
    </row>
    <row r="369" spans="7:30" ht="15.75" customHeight="1">
      <c r="G369" s="15"/>
      <c r="AD369" s="15"/>
    </row>
    <row r="370" spans="7:30" ht="15.75" customHeight="1">
      <c r="G370" s="15"/>
      <c r="AD370" s="15"/>
    </row>
    <row r="371" spans="7:30" ht="15.75" customHeight="1">
      <c r="G371" s="15"/>
      <c r="AD371" s="15"/>
    </row>
    <row r="372" spans="7:30" ht="15.75" customHeight="1">
      <c r="G372" s="15"/>
      <c r="AD372" s="15"/>
    </row>
    <row r="373" spans="7:30" ht="15.75" customHeight="1">
      <c r="G373" s="15"/>
      <c r="AD373" s="15"/>
    </row>
    <row r="374" spans="7:30" ht="15.75" customHeight="1">
      <c r="G374" s="15"/>
      <c r="AD374" s="15"/>
    </row>
    <row r="375" spans="7:30" ht="15.75" customHeight="1">
      <c r="G375" s="15"/>
      <c r="AD375" s="15"/>
    </row>
    <row r="376" spans="7:30" ht="15.75" customHeight="1">
      <c r="G376" s="15"/>
      <c r="AD376" s="15"/>
    </row>
    <row r="377" spans="7:30" ht="15.75" customHeight="1">
      <c r="G377" s="15"/>
      <c r="AD377" s="15"/>
    </row>
    <row r="378" spans="7:30" ht="15.75" customHeight="1">
      <c r="G378" s="15"/>
      <c r="AD378" s="15"/>
    </row>
    <row r="379" spans="7:30" ht="15.75" customHeight="1">
      <c r="G379" s="15"/>
      <c r="AD379" s="15"/>
    </row>
    <row r="380" spans="7:30" ht="15.75" customHeight="1">
      <c r="G380" s="15"/>
      <c r="AD380" s="15"/>
    </row>
    <row r="381" spans="7:30" ht="15.75" customHeight="1">
      <c r="G381" s="15"/>
      <c r="AD381" s="15"/>
    </row>
    <row r="382" spans="7:30" ht="15.75" customHeight="1">
      <c r="G382" s="15"/>
      <c r="AD382" s="15"/>
    </row>
    <row r="383" spans="7:30" ht="15.75" customHeight="1">
      <c r="G383" s="15"/>
      <c r="AD383" s="15"/>
    </row>
    <row r="384" spans="7:30" ht="15.75" customHeight="1">
      <c r="G384" s="15"/>
      <c r="AD384" s="15"/>
    </row>
    <row r="385" spans="7:30" ht="15.75" customHeight="1">
      <c r="G385" s="15"/>
      <c r="AD385" s="15"/>
    </row>
    <row r="386" spans="7:30" ht="15.75" customHeight="1">
      <c r="G386" s="15"/>
      <c r="AD386" s="15"/>
    </row>
    <row r="387" spans="7:30" ht="15.75" customHeight="1">
      <c r="G387" s="15"/>
      <c r="AD387" s="15"/>
    </row>
    <row r="388" spans="7:30" ht="15.75" customHeight="1">
      <c r="G388" s="15"/>
      <c r="AD388" s="15"/>
    </row>
    <row r="389" spans="7:30" ht="15.75" customHeight="1">
      <c r="G389" s="15"/>
      <c r="AD389" s="15"/>
    </row>
    <row r="390" spans="7:30" ht="15.75" customHeight="1">
      <c r="G390" s="15"/>
      <c r="AD390" s="15"/>
    </row>
    <row r="391" spans="7:30" ht="15.75" customHeight="1">
      <c r="G391" s="15"/>
      <c r="AD391" s="15"/>
    </row>
    <row r="392" spans="7:30" ht="15.75" customHeight="1">
      <c r="G392" s="15"/>
      <c r="AD392" s="15"/>
    </row>
    <row r="393" spans="7:30" ht="15.75" customHeight="1">
      <c r="G393" s="15"/>
      <c r="AD393" s="15"/>
    </row>
    <row r="394" spans="7:30" ht="15.75" customHeight="1">
      <c r="G394" s="15"/>
      <c r="AD394" s="15"/>
    </row>
    <row r="395" spans="7:30" ht="15.75" customHeight="1">
      <c r="G395" s="15"/>
      <c r="AD395" s="15"/>
    </row>
    <row r="396" spans="7:30" ht="15.75" customHeight="1">
      <c r="G396" s="15"/>
      <c r="AD396" s="15"/>
    </row>
    <row r="397" spans="7:30" ht="15.75" customHeight="1">
      <c r="G397" s="15"/>
      <c r="AD397" s="15"/>
    </row>
    <row r="398" spans="7:30" ht="15.75" customHeight="1">
      <c r="G398" s="15"/>
      <c r="AD398" s="15"/>
    </row>
    <row r="399" spans="7:30" ht="15.75" customHeight="1">
      <c r="G399" s="15"/>
      <c r="AD399" s="15"/>
    </row>
    <row r="400" spans="7:30" ht="15.75" customHeight="1">
      <c r="G400" s="15"/>
      <c r="AD400" s="15"/>
    </row>
    <row r="401" spans="7:30" ht="15.75" customHeight="1">
      <c r="G401" s="15"/>
      <c r="AD401" s="15"/>
    </row>
    <row r="402" spans="7:30" ht="15.75" customHeight="1">
      <c r="G402" s="15"/>
      <c r="AD402" s="15"/>
    </row>
    <row r="403" spans="7:30" ht="15.75" customHeight="1">
      <c r="G403" s="15"/>
      <c r="AD403" s="15"/>
    </row>
    <row r="404" spans="7:30" ht="15.75" customHeight="1">
      <c r="G404" s="15"/>
      <c r="AD404" s="15"/>
    </row>
    <row r="405" spans="7:30" ht="15.75" customHeight="1">
      <c r="G405" s="15"/>
      <c r="AD405" s="15"/>
    </row>
    <row r="406" spans="7:30" ht="15.75" customHeight="1">
      <c r="G406" s="15"/>
      <c r="AD406" s="15"/>
    </row>
    <row r="407" spans="7:30" ht="15.75" customHeight="1">
      <c r="G407" s="15"/>
      <c r="AD407" s="15"/>
    </row>
    <row r="408" spans="7:30" ht="15.75" customHeight="1">
      <c r="G408" s="15"/>
      <c r="AD408" s="15"/>
    </row>
    <row r="409" spans="7:30" ht="15.75" customHeight="1">
      <c r="G409" s="15"/>
      <c r="AD409" s="15"/>
    </row>
    <row r="410" spans="7:30" ht="15.75" customHeight="1">
      <c r="G410" s="15"/>
      <c r="AD410" s="15"/>
    </row>
    <row r="411" spans="7:30" ht="15.75" customHeight="1">
      <c r="G411" s="15"/>
      <c r="AD411" s="15"/>
    </row>
    <row r="412" spans="7:30" ht="15.75" customHeight="1">
      <c r="G412" s="15"/>
      <c r="AD412" s="15"/>
    </row>
    <row r="413" spans="7:30" ht="15.75" customHeight="1">
      <c r="G413" s="15"/>
      <c r="AD413" s="15"/>
    </row>
    <row r="414" spans="7:30" ht="15.75" customHeight="1">
      <c r="G414" s="15"/>
      <c r="AD414" s="15"/>
    </row>
    <row r="415" spans="7:30" ht="15.75" customHeight="1">
      <c r="G415" s="15"/>
      <c r="AD415" s="15"/>
    </row>
    <row r="416" spans="7:30" ht="15.75" customHeight="1">
      <c r="G416" s="15"/>
      <c r="AD416" s="15"/>
    </row>
    <row r="417" spans="7:30" ht="15.75" customHeight="1">
      <c r="G417" s="15"/>
      <c r="AD417" s="15"/>
    </row>
    <row r="418" spans="7:30" ht="15.75" customHeight="1">
      <c r="G418" s="15"/>
      <c r="AD418" s="15"/>
    </row>
    <row r="419" spans="7:30" ht="15.75" customHeight="1">
      <c r="G419" s="15"/>
      <c r="AD419" s="15"/>
    </row>
    <row r="420" spans="7:30" ht="15.75" customHeight="1">
      <c r="G420" s="15"/>
      <c r="AD420" s="15"/>
    </row>
    <row r="421" spans="7:30" ht="15.75" customHeight="1">
      <c r="G421" s="15"/>
      <c r="AD421" s="15"/>
    </row>
    <row r="422" spans="7:30" ht="15.75" customHeight="1">
      <c r="G422" s="15"/>
      <c r="AD422" s="15"/>
    </row>
    <row r="423" spans="7:30" ht="15.75" customHeight="1">
      <c r="G423" s="15"/>
      <c r="AD423" s="15"/>
    </row>
    <row r="424" spans="7:30" ht="15.75" customHeight="1">
      <c r="G424" s="15"/>
      <c r="AD424" s="15"/>
    </row>
    <row r="425" spans="7:30" ht="15.75" customHeight="1">
      <c r="G425" s="15"/>
      <c r="AD425" s="15"/>
    </row>
    <row r="426" spans="7:30" ht="15.75" customHeight="1">
      <c r="G426" s="15"/>
      <c r="AD426" s="15"/>
    </row>
    <row r="427" spans="7:30" ht="15.75" customHeight="1">
      <c r="G427" s="15"/>
      <c r="AD427" s="15"/>
    </row>
    <row r="428" spans="7:30" ht="15.75" customHeight="1">
      <c r="G428" s="15"/>
      <c r="AD428" s="15"/>
    </row>
    <row r="429" spans="7:30" ht="15.75" customHeight="1">
      <c r="G429" s="15"/>
      <c r="AD429" s="15"/>
    </row>
    <row r="430" spans="7:30" ht="15.75" customHeight="1">
      <c r="G430" s="15"/>
      <c r="AD430" s="15"/>
    </row>
    <row r="431" spans="7:30" ht="15.75" customHeight="1">
      <c r="G431" s="15"/>
      <c r="AD431" s="15"/>
    </row>
    <row r="432" spans="7:30" ht="15.75" customHeight="1">
      <c r="G432" s="15"/>
      <c r="AD432" s="15"/>
    </row>
    <row r="433" spans="7:30" ht="15.75" customHeight="1">
      <c r="G433" s="15"/>
      <c r="AD433" s="15"/>
    </row>
    <row r="434" spans="7:30" ht="15.75" customHeight="1">
      <c r="G434" s="15"/>
      <c r="AD434" s="15"/>
    </row>
    <row r="435" spans="7:30" ht="15.75" customHeight="1">
      <c r="G435" s="15"/>
      <c r="AD435" s="15"/>
    </row>
    <row r="436" spans="7:30" ht="15.75" customHeight="1">
      <c r="G436" s="15"/>
      <c r="AD436" s="15"/>
    </row>
    <row r="437" spans="7:30" ht="15.75" customHeight="1">
      <c r="G437" s="15"/>
      <c r="AD437" s="15"/>
    </row>
    <row r="438" spans="7:30" ht="15.75" customHeight="1">
      <c r="G438" s="15"/>
      <c r="AD438" s="15"/>
    </row>
    <row r="439" spans="7:30" ht="15.75" customHeight="1">
      <c r="G439" s="15"/>
      <c r="AD439" s="15"/>
    </row>
    <row r="440" spans="7:30" ht="15.75" customHeight="1">
      <c r="G440" s="15"/>
      <c r="AD440" s="15"/>
    </row>
    <row r="441" spans="7:30" ht="15.75" customHeight="1">
      <c r="G441" s="15"/>
      <c r="AD441" s="15"/>
    </row>
    <row r="442" spans="7:30" ht="15.75" customHeight="1">
      <c r="G442" s="15"/>
      <c r="AD442" s="15"/>
    </row>
    <row r="443" spans="7:30" ht="15.75" customHeight="1">
      <c r="G443" s="15"/>
      <c r="AD443" s="15"/>
    </row>
    <row r="444" spans="7:30" ht="15.75" customHeight="1">
      <c r="G444" s="15"/>
      <c r="AD444" s="15"/>
    </row>
    <row r="445" spans="7:30" ht="15.75" customHeight="1">
      <c r="G445" s="15"/>
      <c r="AD445" s="15"/>
    </row>
    <row r="446" spans="7:30" ht="15.75" customHeight="1">
      <c r="G446" s="15"/>
      <c r="AD446" s="15"/>
    </row>
    <row r="447" spans="7:30" ht="15.75" customHeight="1">
      <c r="G447" s="15"/>
      <c r="AD447" s="15"/>
    </row>
    <row r="448" spans="7:30" ht="15.75" customHeight="1">
      <c r="G448" s="15"/>
      <c r="AD448" s="15"/>
    </row>
    <row r="449" spans="7:30" ht="15.75" customHeight="1">
      <c r="G449" s="15"/>
      <c r="AD449" s="15"/>
    </row>
    <row r="450" spans="7:30" ht="15.75" customHeight="1">
      <c r="G450" s="15"/>
      <c r="AD450" s="15"/>
    </row>
    <row r="451" spans="7:30" ht="15.75" customHeight="1">
      <c r="G451" s="15"/>
      <c r="AD451" s="15"/>
    </row>
    <row r="452" spans="7:30" ht="15.75" customHeight="1">
      <c r="G452" s="15"/>
      <c r="AD452" s="15"/>
    </row>
    <row r="453" spans="7:30" ht="15.75" customHeight="1">
      <c r="G453" s="15"/>
      <c r="AD453" s="15"/>
    </row>
    <row r="454" spans="7:30" ht="15.75" customHeight="1">
      <c r="G454" s="15"/>
      <c r="AD454" s="15"/>
    </row>
    <row r="455" spans="7:30" ht="15.75" customHeight="1">
      <c r="G455" s="15"/>
      <c r="AD455" s="15"/>
    </row>
    <row r="456" spans="7:30" ht="15.75" customHeight="1">
      <c r="G456" s="15"/>
      <c r="AD456" s="15"/>
    </row>
    <row r="457" spans="7:30" ht="15.75" customHeight="1">
      <c r="G457" s="15"/>
      <c r="AD457" s="15"/>
    </row>
    <row r="458" spans="7:30" ht="15.75" customHeight="1">
      <c r="G458" s="15"/>
      <c r="AD458" s="15"/>
    </row>
    <row r="459" spans="7:30" ht="15.75" customHeight="1">
      <c r="G459" s="15"/>
      <c r="AD459" s="15"/>
    </row>
    <row r="460" spans="7:30" ht="15.75" customHeight="1">
      <c r="G460" s="15"/>
      <c r="AD460" s="15"/>
    </row>
    <row r="461" spans="7:30" ht="15.75" customHeight="1">
      <c r="G461" s="15"/>
      <c r="AD461" s="15"/>
    </row>
    <row r="462" spans="7:30" ht="15.75" customHeight="1">
      <c r="G462" s="15"/>
      <c r="AD462" s="15"/>
    </row>
    <row r="463" spans="7:30" ht="15.75" customHeight="1">
      <c r="G463" s="15"/>
      <c r="AD463" s="15"/>
    </row>
    <row r="464" spans="7:30" ht="15.75" customHeight="1">
      <c r="G464" s="15"/>
      <c r="AD464" s="15"/>
    </row>
    <row r="465" spans="7:30" ht="15.75" customHeight="1">
      <c r="G465" s="15"/>
      <c r="AD465" s="15"/>
    </row>
    <row r="466" spans="7:30" ht="15.75" customHeight="1">
      <c r="G466" s="15"/>
      <c r="AD466" s="15"/>
    </row>
    <row r="467" spans="7:30" ht="15.75" customHeight="1">
      <c r="G467" s="15"/>
      <c r="AD467" s="15"/>
    </row>
    <row r="468" spans="7:30" ht="15.75" customHeight="1">
      <c r="G468" s="15"/>
      <c r="AD468" s="15"/>
    </row>
    <row r="469" spans="7:30" ht="15.75" customHeight="1">
      <c r="G469" s="15"/>
      <c r="AD469" s="15"/>
    </row>
    <row r="470" spans="7:30" ht="15.75" customHeight="1">
      <c r="G470" s="15"/>
      <c r="AD470" s="15"/>
    </row>
    <row r="471" spans="7:30" ht="15.75" customHeight="1">
      <c r="G471" s="15"/>
      <c r="AD471" s="15"/>
    </row>
    <row r="472" spans="7:30" ht="15.75" customHeight="1">
      <c r="G472" s="15"/>
      <c r="AD472" s="15"/>
    </row>
    <row r="473" spans="7:30" ht="15.75" customHeight="1">
      <c r="G473" s="15"/>
      <c r="AD473" s="15"/>
    </row>
    <row r="474" spans="7:30" ht="15.75" customHeight="1">
      <c r="G474" s="15"/>
      <c r="AD474" s="15"/>
    </row>
    <row r="475" spans="7:30" ht="15.75" customHeight="1">
      <c r="G475" s="15"/>
      <c r="AD475" s="15"/>
    </row>
    <row r="476" spans="7:30" ht="15.75" customHeight="1">
      <c r="G476" s="15"/>
      <c r="AD476" s="15"/>
    </row>
    <row r="477" spans="7:30" ht="15.75" customHeight="1">
      <c r="G477" s="15"/>
      <c r="AD477" s="15"/>
    </row>
    <row r="478" spans="7:30" ht="15.75" customHeight="1">
      <c r="G478" s="15"/>
      <c r="AD478" s="15"/>
    </row>
    <row r="479" spans="7:30" ht="15.75" customHeight="1">
      <c r="G479" s="15"/>
      <c r="AD479" s="15"/>
    </row>
    <row r="480" spans="7:30" ht="15.75" customHeight="1">
      <c r="G480" s="15"/>
      <c r="AD480" s="15"/>
    </row>
    <row r="481" spans="7:30" ht="15.75" customHeight="1">
      <c r="G481" s="15"/>
      <c r="AD481" s="15"/>
    </row>
    <row r="482" spans="7:30" ht="15.75" customHeight="1">
      <c r="G482" s="15"/>
      <c r="AD482" s="15"/>
    </row>
    <row r="483" spans="7:30" ht="15.75" customHeight="1">
      <c r="G483" s="15"/>
      <c r="AD483" s="15"/>
    </row>
    <row r="484" spans="7:30" ht="15.75" customHeight="1">
      <c r="G484" s="15"/>
      <c r="AD484" s="15"/>
    </row>
    <row r="485" spans="7:30" ht="15.75" customHeight="1">
      <c r="G485" s="15"/>
      <c r="AD485" s="15"/>
    </row>
    <row r="486" spans="7:30" ht="15.75" customHeight="1">
      <c r="G486" s="15"/>
      <c r="AD486" s="15"/>
    </row>
    <row r="487" spans="7:30" ht="15.75" customHeight="1">
      <c r="G487" s="15"/>
      <c r="AD487" s="15"/>
    </row>
    <row r="488" spans="7:30" ht="15.75" customHeight="1">
      <c r="G488" s="15"/>
      <c r="AD488" s="15"/>
    </row>
    <row r="489" spans="7:30" ht="15.75" customHeight="1">
      <c r="G489" s="15"/>
      <c r="AD489" s="15"/>
    </row>
    <row r="490" spans="7:30" ht="15.75" customHeight="1">
      <c r="G490" s="15"/>
      <c r="AD490" s="15"/>
    </row>
    <row r="491" spans="7:30" ht="15.75" customHeight="1">
      <c r="G491" s="15"/>
      <c r="AD491" s="15"/>
    </row>
    <row r="492" spans="7:30" ht="15.75" customHeight="1">
      <c r="G492" s="15"/>
      <c r="AD492" s="15"/>
    </row>
    <row r="493" spans="7:30" ht="15.75" customHeight="1">
      <c r="G493" s="15"/>
      <c r="AD493" s="15"/>
    </row>
    <row r="494" spans="7:30" ht="15.75" customHeight="1">
      <c r="G494" s="15"/>
      <c r="AD494" s="15"/>
    </row>
    <row r="495" spans="7:30" ht="15.75" customHeight="1">
      <c r="G495" s="15"/>
      <c r="AD495" s="15"/>
    </row>
    <row r="496" spans="7:30" ht="15.75" customHeight="1">
      <c r="G496" s="15"/>
      <c r="AD496" s="15"/>
    </row>
    <row r="497" spans="7:30" ht="15.75" customHeight="1">
      <c r="G497" s="15"/>
      <c r="AD497" s="15"/>
    </row>
    <row r="498" spans="7:30" ht="15.75" customHeight="1">
      <c r="G498" s="15"/>
      <c r="AD498" s="15"/>
    </row>
    <row r="499" spans="7:30" ht="15.75" customHeight="1">
      <c r="G499" s="15"/>
      <c r="AD499" s="15"/>
    </row>
    <row r="500" spans="7:30" ht="15.75" customHeight="1">
      <c r="G500" s="15"/>
      <c r="AD500" s="15"/>
    </row>
    <row r="501" spans="7:30" ht="15.75" customHeight="1">
      <c r="G501" s="15"/>
      <c r="AD501" s="15"/>
    </row>
    <row r="502" spans="7:30" ht="15.75" customHeight="1">
      <c r="G502" s="15"/>
      <c r="AD502" s="15"/>
    </row>
    <row r="503" spans="7:30" ht="15.75" customHeight="1">
      <c r="G503" s="15"/>
      <c r="AD503" s="15"/>
    </row>
    <row r="504" spans="7:30" ht="15.75" customHeight="1">
      <c r="G504" s="15"/>
      <c r="AD504" s="15"/>
    </row>
    <row r="505" spans="7:30" ht="15.75" customHeight="1">
      <c r="G505" s="15"/>
      <c r="AD505" s="15"/>
    </row>
    <row r="506" spans="7:30" ht="15.75" customHeight="1">
      <c r="G506" s="15"/>
      <c r="AD506" s="15"/>
    </row>
    <row r="507" spans="7:30" ht="15.75" customHeight="1">
      <c r="G507" s="15"/>
      <c r="AD507" s="15"/>
    </row>
    <row r="508" spans="7:30" ht="15.75" customHeight="1">
      <c r="G508" s="15"/>
      <c r="AD508" s="15"/>
    </row>
    <row r="509" spans="7:30" ht="15.75" customHeight="1">
      <c r="G509" s="15"/>
      <c r="AD509" s="15"/>
    </row>
    <row r="510" spans="7:30" ht="15.75" customHeight="1">
      <c r="G510" s="15"/>
      <c r="AD510" s="15"/>
    </row>
    <row r="511" spans="7:30" ht="15.75" customHeight="1">
      <c r="G511" s="15"/>
      <c r="AD511" s="15"/>
    </row>
    <row r="512" spans="7:30" ht="15.75" customHeight="1">
      <c r="G512" s="15"/>
      <c r="AD512" s="15"/>
    </row>
    <row r="513" spans="7:30" ht="15.75" customHeight="1">
      <c r="G513" s="15"/>
      <c r="AD513" s="15"/>
    </row>
    <row r="514" spans="7:30" ht="15.75" customHeight="1">
      <c r="G514" s="15"/>
      <c r="AD514" s="15"/>
    </row>
    <row r="515" spans="7:30" ht="15.75" customHeight="1">
      <c r="G515" s="15"/>
      <c r="AD515" s="15"/>
    </row>
    <row r="516" spans="7:30" ht="15.75" customHeight="1">
      <c r="G516" s="15"/>
      <c r="AD516" s="15"/>
    </row>
    <row r="517" spans="7:30" ht="15.75" customHeight="1">
      <c r="G517" s="15"/>
      <c r="AD517" s="15"/>
    </row>
    <row r="518" spans="7:30" ht="15.75" customHeight="1">
      <c r="G518" s="15"/>
      <c r="AD518" s="15"/>
    </row>
    <row r="519" spans="7:30" ht="15.75" customHeight="1">
      <c r="G519" s="15"/>
      <c r="AD519" s="15"/>
    </row>
    <row r="520" spans="7:30" ht="15.75" customHeight="1">
      <c r="G520" s="15"/>
      <c r="AD520" s="15"/>
    </row>
    <row r="521" spans="7:30" ht="15.75" customHeight="1">
      <c r="G521" s="15"/>
      <c r="AD521" s="15"/>
    </row>
    <row r="522" spans="7:30" ht="15.75" customHeight="1">
      <c r="G522" s="15"/>
      <c r="AD522" s="15"/>
    </row>
    <row r="523" spans="7:30" ht="15.75" customHeight="1">
      <c r="G523" s="15"/>
      <c r="AD523" s="15"/>
    </row>
    <row r="524" spans="7:30" ht="15.75" customHeight="1">
      <c r="G524" s="15"/>
      <c r="AD524" s="15"/>
    </row>
    <row r="525" spans="7:30" ht="15.75" customHeight="1">
      <c r="G525" s="15"/>
      <c r="AD525" s="15"/>
    </row>
    <row r="526" spans="7:30" ht="15.75" customHeight="1">
      <c r="G526" s="15"/>
      <c r="AD526" s="15"/>
    </row>
    <row r="527" spans="7:30" ht="15.75" customHeight="1">
      <c r="G527" s="15"/>
      <c r="AD527" s="15"/>
    </row>
    <row r="528" spans="7:30" ht="15.75" customHeight="1">
      <c r="G528" s="15"/>
      <c r="AD528" s="15"/>
    </row>
    <row r="529" spans="7:30" ht="15.75" customHeight="1">
      <c r="G529" s="15"/>
      <c r="AD529" s="15"/>
    </row>
    <row r="530" spans="7:30" ht="15.75" customHeight="1">
      <c r="G530" s="15"/>
      <c r="AD530" s="15"/>
    </row>
    <row r="531" spans="7:30" ht="15.75" customHeight="1">
      <c r="G531" s="15"/>
      <c r="AD531" s="15"/>
    </row>
    <row r="532" spans="7:30" ht="15.75" customHeight="1">
      <c r="G532" s="15"/>
      <c r="AD532" s="15"/>
    </row>
    <row r="533" spans="7:30" ht="15.75" customHeight="1">
      <c r="G533" s="15"/>
      <c r="AD533" s="15"/>
    </row>
    <row r="534" spans="7:30" ht="15.75" customHeight="1">
      <c r="G534" s="15"/>
      <c r="AD534" s="15"/>
    </row>
    <row r="535" spans="7:30" ht="15.75" customHeight="1">
      <c r="G535" s="15"/>
      <c r="AD535" s="15"/>
    </row>
    <row r="536" spans="7:30" ht="15.75" customHeight="1">
      <c r="G536" s="15"/>
      <c r="AD536" s="15"/>
    </row>
    <row r="537" spans="7:30" ht="15.75" customHeight="1">
      <c r="G537" s="15"/>
      <c r="AD537" s="15"/>
    </row>
    <row r="538" spans="7:30" ht="15.75" customHeight="1">
      <c r="G538" s="15"/>
      <c r="AD538" s="15"/>
    </row>
    <row r="539" spans="7:30" ht="15.75" customHeight="1">
      <c r="G539" s="15"/>
      <c r="AD539" s="15"/>
    </row>
    <row r="540" spans="7:30" ht="15.75" customHeight="1">
      <c r="G540" s="15"/>
      <c r="AD540" s="15"/>
    </row>
    <row r="541" spans="7:30" ht="15.75" customHeight="1">
      <c r="G541" s="15"/>
      <c r="AD541" s="15"/>
    </row>
    <row r="542" spans="7:30" ht="15.75" customHeight="1">
      <c r="G542" s="15"/>
      <c r="AD542" s="15"/>
    </row>
    <row r="543" spans="7:30" ht="15.75" customHeight="1">
      <c r="G543" s="15"/>
      <c r="AD543" s="15"/>
    </row>
    <row r="544" spans="7:30" ht="15.75" customHeight="1">
      <c r="G544" s="15"/>
      <c r="AD544" s="15"/>
    </row>
    <row r="545" spans="7:30" ht="15.75" customHeight="1">
      <c r="G545" s="15"/>
      <c r="AD545" s="15"/>
    </row>
    <row r="546" spans="7:30" ht="15.75" customHeight="1">
      <c r="G546" s="15"/>
      <c r="AD546" s="15"/>
    </row>
    <row r="547" spans="7:30" ht="15.75" customHeight="1">
      <c r="G547" s="15"/>
      <c r="AD547" s="15"/>
    </row>
    <row r="548" spans="7:30" ht="15.75" customHeight="1">
      <c r="G548" s="15"/>
      <c r="AD548" s="15"/>
    </row>
    <row r="549" spans="7:30" ht="15.75" customHeight="1">
      <c r="G549" s="15"/>
      <c r="AD549" s="15"/>
    </row>
    <row r="550" spans="7:30" ht="15.75" customHeight="1">
      <c r="G550" s="15"/>
      <c r="AD550" s="15"/>
    </row>
    <row r="551" spans="7:30" ht="15.75" customHeight="1">
      <c r="G551" s="15"/>
      <c r="AD551" s="15"/>
    </row>
    <row r="552" spans="7:30" ht="15.75" customHeight="1">
      <c r="G552" s="15"/>
      <c r="AD552" s="15"/>
    </row>
    <row r="553" spans="7:30" ht="15.75" customHeight="1">
      <c r="G553" s="15"/>
      <c r="AD553" s="15"/>
    </row>
    <row r="554" spans="7:30" ht="15.75" customHeight="1">
      <c r="G554" s="15"/>
      <c r="AD554" s="15"/>
    </row>
    <row r="555" spans="7:30" ht="15.75" customHeight="1">
      <c r="G555" s="15"/>
      <c r="AD555" s="15"/>
    </row>
    <row r="556" spans="7:30" ht="15.75" customHeight="1">
      <c r="G556" s="15"/>
      <c r="AD556" s="15"/>
    </row>
    <row r="557" spans="7:30" ht="15.75" customHeight="1">
      <c r="G557" s="15"/>
      <c r="AD557" s="15"/>
    </row>
    <row r="558" spans="7:30" ht="15.75" customHeight="1">
      <c r="G558" s="15"/>
      <c r="AD558" s="15"/>
    </row>
    <row r="559" spans="7:30" ht="15.75" customHeight="1">
      <c r="G559" s="15"/>
      <c r="AD559" s="15"/>
    </row>
    <row r="560" spans="7:30" ht="15.75" customHeight="1">
      <c r="G560" s="15"/>
      <c r="AD560" s="15"/>
    </row>
    <row r="561" spans="7:30" ht="15.75" customHeight="1">
      <c r="G561" s="15"/>
      <c r="AD561" s="15"/>
    </row>
    <row r="562" spans="7:30" ht="15.75" customHeight="1">
      <c r="G562" s="15"/>
      <c r="AD562" s="15"/>
    </row>
    <row r="563" spans="7:30" ht="15.75" customHeight="1">
      <c r="G563" s="15"/>
      <c r="AD563" s="15"/>
    </row>
    <row r="564" spans="7:30" ht="15.75" customHeight="1">
      <c r="G564" s="15"/>
      <c r="AD564" s="15"/>
    </row>
    <row r="565" spans="7:30" ht="15.75" customHeight="1">
      <c r="G565" s="15"/>
      <c r="AD565" s="15"/>
    </row>
    <row r="566" spans="7:30" ht="15.75" customHeight="1">
      <c r="G566" s="15"/>
      <c r="AD566" s="15"/>
    </row>
    <row r="567" spans="7:30" ht="15.75" customHeight="1">
      <c r="G567" s="15"/>
      <c r="AD567" s="15"/>
    </row>
    <row r="568" spans="7:30" ht="15.75" customHeight="1">
      <c r="G568" s="15"/>
      <c r="AD568" s="15"/>
    </row>
    <row r="569" spans="7:30" ht="15.75" customHeight="1">
      <c r="G569" s="15"/>
      <c r="AD569" s="15"/>
    </row>
    <row r="570" spans="7:30" ht="15.75" customHeight="1">
      <c r="G570" s="15"/>
      <c r="AD570" s="15"/>
    </row>
    <row r="571" spans="7:30" ht="15.75" customHeight="1">
      <c r="G571" s="15"/>
      <c r="AD571" s="15"/>
    </row>
    <row r="572" spans="7:30" ht="15.75" customHeight="1">
      <c r="G572" s="15"/>
      <c r="AD572" s="15"/>
    </row>
    <row r="573" spans="7:30" ht="15.75" customHeight="1">
      <c r="G573" s="15"/>
      <c r="AD573" s="15"/>
    </row>
    <row r="574" spans="7:30" ht="15.75" customHeight="1">
      <c r="G574" s="15"/>
      <c r="AD574" s="15"/>
    </row>
    <row r="575" spans="7:30" ht="15.75" customHeight="1">
      <c r="G575" s="15"/>
      <c r="AD575" s="15"/>
    </row>
    <row r="576" spans="7:30" ht="15.75" customHeight="1">
      <c r="G576" s="15"/>
      <c r="AD576" s="15"/>
    </row>
    <row r="577" spans="7:30" ht="15.75" customHeight="1">
      <c r="G577" s="15"/>
      <c r="AD577" s="15"/>
    </row>
    <row r="578" spans="7:30" ht="15.75" customHeight="1">
      <c r="G578" s="15"/>
      <c r="AD578" s="15"/>
    </row>
    <row r="579" spans="7:30" ht="15.75" customHeight="1">
      <c r="G579" s="15"/>
      <c r="AD579" s="15"/>
    </row>
    <row r="580" spans="7:30" ht="15.75" customHeight="1">
      <c r="G580" s="15"/>
      <c r="AD580" s="15"/>
    </row>
    <row r="581" spans="7:30" ht="15.75" customHeight="1">
      <c r="G581" s="15"/>
      <c r="AD581" s="15"/>
    </row>
    <row r="582" spans="7:30" ht="15.75" customHeight="1">
      <c r="G582" s="15"/>
      <c r="AD582" s="15"/>
    </row>
    <row r="583" spans="7:30" ht="15.75" customHeight="1">
      <c r="G583" s="15"/>
      <c r="AD583" s="15"/>
    </row>
    <row r="584" spans="7:30" ht="15.75" customHeight="1">
      <c r="G584" s="15"/>
      <c r="AD584" s="15"/>
    </row>
    <row r="585" spans="7:30" ht="15.75" customHeight="1">
      <c r="G585" s="15"/>
      <c r="AD585" s="15"/>
    </row>
    <row r="586" spans="7:30" ht="15.75" customHeight="1">
      <c r="G586" s="15"/>
      <c r="AD586" s="15"/>
    </row>
    <row r="587" spans="7:30" ht="15.75" customHeight="1">
      <c r="G587" s="15"/>
      <c r="AD587" s="15"/>
    </row>
    <row r="588" spans="7:30" ht="15.75" customHeight="1">
      <c r="G588" s="15"/>
      <c r="AD588" s="15"/>
    </row>
    <row r="589" spans="7:30" ht="15.75" customHeight="1">
      <c r="G589" s="15"/>
      <c r="AD589" s="15"/>
    </row>
    <row r="590" spans="7:30" ht="15.75" customHeight="1">
      <c r="G590" s="15"/>
      <c r="AD590" s="15"/>
    </row>
    <row r="591" spans="7:30" ht="15.75" customHeight="1">
      <c r="G591" s="15"/>
      <c r="AD591" s="15"/>
    </row>
    <row r="592" spans="7:30" ht="15.75" customHeight="1">
      <c r="G592" s="15"/>
      <c r="AD592" s="15"/>
    </row>
    <row r="593" spans="7:30" ht="15.75" customHeight="1">
      <c r="G593" s="15"/>
      <c r="AD593" s="15"/>
    </row>
    <row r="594" spans="7:30" ht="15.75" customHeight="1">
      <c r="G594" s="15"/>
      <c r="AD594" s="15"/>
    </row>
    <row r="595" spans="7:30" ht="15.75" customHeight="1">
      <c r="G595" s="15"/>
      <c r="AD595" s="15"/>
    </row>
    <row r="596" spans="7:30" ht="15.75" customHeight="1">
      <c r="G596" s="15"/>
      <c r="AD596" s="15"/>
    </row>
    <row r="597" spans="7:30" ht="15.75" customHeight="1">
      <c r="G597" s="15"/>
      <c r="AD597" s="15"/>
    </row>
    <row r="598" spans="7:30" ht="15.75" customHeight="1">
      <c r="G598" s="15"/>
      <c r="AD598" s="15"/>
    </row>
    <row r="599" spans="7:30" ht="15.75" customHeight="1">
      <c r="G599" s="15"/>
      <c r="AD599" s="15"/>
    </row>
    <row r="600" spans="7:30" ht="15.75" customHeight="1">
      <c r="G600" s="15"/>
      <c r="AD600" s="15"/>
    </row>
    <row r="601" spans="7:30" ht="15.75" customHeight="1">
      <c r="G601" s="15"/>
      <c r="AD601" s="15"/>
    </row>
    <row r="602" spans="7:30" ht="15.75" customHeight="1">
      <c r="G602" s="15"/>
      <c r="AD602" s="15"/>
    </row>
    <row r="603" spans="7:30" ht="15.75" customHeight="1">
      <c r="G603" s="15"/>
      <c r="AD603" s="15"/>
    </row>
    <row r="604" spans="7:30" ht="15.75" customHeight="1">
      <c r="G604" s="15"/>
      <c r="AD604" s="15"/>
    </row>
    <row r="605" spans="7:30" ht="15.75" customHeight="1">
      <c r="G605" s="15"/>
      <c r="AD605" s="15"/>
    </row>
    <row r="606" spans="7:30" ht="15.75" customHeight="1">
      <c r="G606" s="15"/>
      <c r="AD606" s="15"/>
    </row>
    <row r="607" spans="7:30" ht="15.75" customHeight="1">
      <c r="G607" s="15"/>
      <c r="AD607" s="15"/>
    </row>
    <row r="608" spans="7:30" ht="15.75" customHeight="1">
      <c r="G608" s="15"/>
      <c r="AD608" s="15"/>
    </row>
    <row r="609" spans="7:30" ht="15.75" customHeight="1">
      <c r="G609" s="15"/>
      <c r="AD609" s="15"/>
    </row>
    <row r="610" spans="7:30" ht="15.75" customHeight="1">
      <c r="G610" s="15"/>
      <c r="AD610" s="15"/>
    </row>
    <row r="611" spans="7:30" ht="15.75" customHeight="1">
      <c r="G611" s="15"/>
      <c r="AD611" s="15"/>
    </row>
    <row r="612" spans="7:30" ht="15.75" customHeight="1">
      <c r="G612" s="15"/>
      <c r="AD612" s="15"/>
    </row>
    <row r="613" spans="7:30" ht="15.75" customHeight="1">
      <c r="G613" s="15"/>
      <c r="AD613" s="15"/>
    </row>
    <row r="614" spans="7:30" ht="15.75" customHeight="1">
      <c r="G614" s="15"/>
      <c r="AD614" s="15"/>
    </row>
    <row r="615" spans="7:30" ht="15.75" customHeight="1">
      <c r="G615" s="15"/>
      <c r="AD615" s="15"/>
    </row>
    <row r="616" spans="7:30" ht="15.75" customHeight="1">
      <c r="G616" s="15"/>
      <c r="AD616" s="15"/>
    </row>
    <row r="617" spans="7:30" ht="15.75" customHeight="1">
      <c r="G617" s="15"/>
      <c r="AD617" s="15"/>
    </row>
    <row r="618" spans="7:30" ht="15.75" customHeight="1">
      <c r="G618" s="15"/>
      <c r="AD618" s="15"/>
    </row>
    <row r="619" spans="7:30" ht="15.75" customHeight="1">
      <c r="G619" s="15"/>
      <c r="AD619" s="15"/>
    </row>
    <row r="620" spans="7:30" ht="15.75" customHeight="1">
      <c r="G620" s="15"/>
      <c r="AD620" s="15"/>
    </row>
    <row r="621" spans="7:30" ht="15.75" customHeight="1">
      <c r="G621" s="15"/>
      <c r="AD621" s="15"/>
    </row>
    <row r="622" spans="7:30" ht="15.75" customHeight="1">
      <c r="G622" s="15"/>
      <c r="AD622" s="15"/>
    </row>
    <row r="623" spans="7:30" ht="15.75" customHeight="1">
      <c r="G623" s="15"/>
      <c r="AD623" s="15"/>
    </row>
    <row r="624" spans="7:30" ht="15.75" customHeight="1">
      <c r="G624" s="15"/>
      <c r="AD624" s="15"/>
    </row>
    <row r="625" spans="7:30" ht="15.75" customHeight="1">
      <c r="G625" s="15"/>
      <c r="AD625" s="15"/>
    </row>
    <row r="626" spans="7:30" ht="15.75" customHeight="1">
      <c r="G626" s="15"/>
      <c r="AD626" s="15"/>
    </row>
    <row r="627" spans="7:30" ht="15.75" customHeight="1">
      <c r="G627" s="15"/>
      <c r="AD627" s="15"/>
    </row>
    <row r="628" spans="7:30" ht="15.75" customHeight="1">
      <c r="G628" s="15"/>
      <c r="AD628" s="15"/>
    </row>
    <row r="629" spans="7:30" ht="15.75" customHeight="1">
      <c r="G629" s="15"/>
      <c r="AD629" s="15"/>
    </row>
    <row r="630" spans="7:30" ht="15.75" customHeight="1">
      <c r="G630" s="15"/>
      <c r="AD630" s="15"/>
    </row>
    <row r="631" spans="7:30" ht="15.75" customHeight="1">
      <c r="G631" s="15"/>
      <c r="AD631" s="15"/>
    </row>
    <row r="632" spans="7:30" ht="15.75" customHeight="1">
      <c r="G632" s="15"/>
      <c r="AD632" s="15"/>
    </row>
    <row r="633" spans="7:30" ht="15.75" customHeight="1">
      <c r="G633" s="15"/>
      <c r="AD633" s="15"/>
    </row>
    <row r="634" spans="7:30" ht="15.75" customHeight="1">
      <c r="G634" s="15"/>
      <c r="AD634" s="15"/>
    </row>
    <row r="635" spans="7:30" ht="15.75" customHeight="1">
      <c r="G635" s="15"/>
      <c r="AD635" s="15"/>
    </row>
    <row r="636" spans="7:30" ht="15.75" customHeight="1">
      <c r="G636" s="15"/>
      <c r="AD636" s="15"/>
    </row>
    <row r="637" spans="7:30" ht="15.75" customHeight="1">
      <c r="G637" s="15"/>
      <c r="AD637" s="15"/>
    </row>
    <row r="638" spans="7:30" ht="15.75" customHeight="1">
      <c r="G638" s="15"/>
      <c r="AD638" s="15"/>
    </row>
    <row r="639" spans="7:30" ht="15.75" customHeight="1">
      <c r="G639" s="15"/>
      <c r="AD639" s="15"/>
    </row>
    <row r="640" spans="7:30" ht="15.75" customHeight="1">
      <c r="G640" s="15"/>
      <c r="AD640" s="15"/>
    </row>
    <row r="641" spans="7:30" ht="15.75" customHeight="1">
      <c r="G641" s="15"/>
      <c r="AD641" s="15"/>
    </row>
    <row r="642" spans="7:30" ht="15.75" customHeight="1">
      <c r="G642" s="15"/>
      <c r="AD642" s="15"/>
    </row>
    <row r="643" spans="7:30" ht="15.75" customHeight="1">
      <c r="G643" s="15"/>
      <c r="AD643" s="15"/>
    </row>
    <row r="644" spans="7:30" ht="15.75" customHeight="1">
      <c r="G644" s="15"/>
      <c r="AD644" s="15"/>
    </row>
    <row r="645" spans="7:30" ht="15.75" customHeight="1">
      <c r="G645" s="15"/>
      <c r="AD645" s="15"/>
    </row>
    <row r="646" spans="7:30" ht="15.75" customHeight="1">
      <c r="G646" s="15"/>
      <c r="AD646" s="15"/>
    </row>
    <row r="647" spans="7:30" ht="15.75" customHeight="1">
      <c r="G647" s="15"/>
      <c r="AD647" s="15"/>
    </row>
    <row r="648" spans="7:30" ht="15.75" customHeight="1">
      <c r="G648" s="15"/>
      <c r="AD648" s="15"/>
    </row>
    <row r="649" spans="7:30" ht="15.75" customHeight="1">
      <c r="G649" s="15"/>
      <c r="AD649" s="15"/>
    </row>
    <row r="650" spans="7:30" ht="15.75" customHeight="1">
      <c r="G650" s="15"/>
      <c r="AD650" s="15"/>
    </row>
    <row r="651" spans="7:30" ht="15.75" customHeight="1">
      <c r="G651" s="15"/>
      <c r="AD651" s="15"/>
    </row>
    <row r="652" spans="7:30" ht="15.75" customHeight="1">
      <c r="G652" s="15"/>
      <c r="AD652" s="15"/>
    </row>
    <row r="653" spans="7:30" ht="15.75" customHeight="1">
      <c r="G653" s="15"/>
      <c r="AD653" s="15"/>
    </row>
    <row r="654" spans="7:30" ht="15.75" customHeight="1">
      <c r="G654" s="15"/>
      <c r="AD654" s="15"/>
    </row>
    <row r="655" spans="7:30" ht="15.75" customHeight="1">
      <c r="G655" s="15"/>
      <c r="AD655" s="15"/>
    </row>
    <row r="656" spans="7:30" ht="15.75" customHeight="1">
      <c r="G656" s="15"/>
      <c r="AD656" s="15"/>
    </row>
    <row r="657" spans="7:30" ht="15.75" customHeight="1">
      <c r="G657" s="15"/>
      <c r="AD657" s="15"/>
    </row>
    <row r="658" spans="7:30" ht="15.75" customHeight="1">
      <c r="G658" s="15"/>
      <c r="AD658" s="15"/>
    </row>
    <row r="659" spans="7:30" ht="15.75" customHeight="1">
      <c r="G659" s="15"/>
      <c r="AD659" s="15"/>
    </row>
    <row r="660" spans="7:30" ht="15.75" customHeight="1">
      <c r="G660" s="15"/>
      <c r="AD660" s="15"/>
    </row>
    <row r="661" spans="7:30" ht="15.75" customHeight="1">
      <c r="G661" s="15"/>
      <c r="AD661" s="15"/>
    </row>
    <row r="662" spans="7:30" ht="15.75" customHeight="1">
      <c r="G662" s="15"/>
      <c r="AD662" s="15"/>
    </row>
    <row r="663" spans="7:30" ht="15.75" customHeight="1">
      <c r="G663" s="15"/>
      <c r="AD663" s="15"/>
    </row>
    <row r="664" spans="7:30" ht="15.75" customHeight="1">
      <c r="G664" s="15"/>
      <c r="AD664" s="15"/>
    </row>
    <row r="665" spans="7:30" ht="15.75" customHeight="1">
      <c r="G665" s="15"/>
      <c r="AD665" s="15"/>
    </row>
    <row r="666" spans="7:30" ht="15.75" customHeight="1">
      <c r="G666" s="15"/>
      <c r="AD666" s="15"/>
    </row>
    <row r="667" spans="7:30" ht="15.75" customHeight="1">
      <c r="G667" s="15"/>
      <c r="AD667" s="15"/>
    </row>
    <row r="668" spans="7:30" ht="15.75" customHeight="1">
      <c r="G668" s="15"/>
      <c r="AD668" s="15"/>
    </row>
    <row r="669" spans="7:30" ht="15.75" customHeight="1">
      <c r="G669" s="15"/>
      <c r="AD669" s="15"/>
    </row>
    <row r="670" spans="7:30" ht="15.75" customHeight="1">
      <c r="G670" s="15"/>
      <c r="AD670" s="15"/>
    </row>
    <row r="671" spans="7:30" ht="15.75" customHeight="1">
      <c r="G671" s="15"/>
      <c r="AD671" s="15"/>
    </row>
    <row r="672" spans="7:30" ht="15.75" customHeight="1">
      <c r="G672" s="15"/>
      <c r="AD672" s="15"/>
    </row>
    <row r="673" spans="7:30" ht="15.75" customHeight="1">
      <c r="G673" s="15"/>
      <c r="AD673" s="15"/>
    </row>
    <row r="674" spans="7:30" ht="15.75" customHeight="1">
      <c r="G674" s="15"/>
      <c r="AD674" s="15"/>
    </row>
    <row r="675" spans="7:30" ht="15.75" customHeight="1">
      <c r="G675" s="15"/>
      <c r="AD675" s="15"/>
    </row>
    <row r="676" spans="7:30" ht="15.75" customHeight="1">
      <c r="G676" s="15"/>
      <c r="AD676" s="15"/>
    </row>
    <row r="677" spans="7:30" ht="15.75" customHeight="1">
      <c r="G677" s="15"/>
      <c r="AD677" s="15"/>
    </row>
    <row r="678" spans="7:30" ht="15.75" customHeight="1">
      <c r="G678" s="15"/>
      <c r="AD678" s="15"/>
    </row>
    <row r="679" spans="7:30" ht="15.75" customHeight="1">
      <c r="G679" s="15"/>
      <c r="AD679" s="15"/>
    </row>
    <row r="680" spans="7:30" ht="15.75" customHeight="1">
      <c r="G680" s="15"/>
      <c r="AD680" s="15"/>
    </row>
    <row r="681" spans="7:30" ht="15.75" customHeight="1">
      <c r="G681" s="15"/>
      <c r="AD681" s="15"/>
    </row>
    <row r="682" spans="7:30" ht="15.75" customHeight="1">
      <c r="G682" s="15"/>
      <c r="AD682" s="15"/>
    </row>
    <row r="683" spans="7:30" ht="15.75" customHeight="1">
      <c r="G683" s="15"/>
      <c r="AD683" s="15"/>
    </row>
    <row r="684" spans="7:30" ht="15.75" customHeight="1">
      <c r="G684" s="15"/>
      <c r="AD684" s="15"/>
    </row>
    <row r="685" spans="7:30" ht="15.75" customHeight="1">
      <c r="G685" s="15"/>
      <c r="AD685" s="15"/>
    </row>
    <row r="686" spans="7:30" ht="15.75" customHeight="1">
      <c r="G686" s="15"/>
      <c r="AD686" s="15"/>
    </row>
    <row r="687" spans="7:30" ht="15.75" customHeight="1">
      <c r="G687" s="15"/>
      <c r="AD687" s="15"/>
    </row>
    <row r="688" spans="7:30" ht="15.75" customHeight="1">
      <c r="G688" s="15"/>
      <c r="AD688" s="15"/>
    </row>
    <row r="689" spans="7:30" ht="15.75" customHeight="1">
      <c r="G689" s="15"/>
      <c r="AD689" s="15"/>
    </row>
    <row r="690" spans="7:30" ht="15.75" customHeight="1">
      <c r="G690" s="15"/>
      <c r="AD690" s="15"/>
    </row>
    <row r="691" spans="7:30" ht="15.75" customHeight="1">
      <c r="G691" s="15"/>
      <c r="AD691" s="15"/>
    </row>
    <row r="692" spans="7:30" ht="15.75" customHeight="1">
      <c r="G692" s="15"/>
      <c r="AD692" s="15"/>
    </row>
    <row r="693" spans="7:30" ht="15.75" customHeight="1">
      <c r="G693" s="15"/>
      <c r="AD693" s="15"/>
    </row>
    <row r="694" spans="7:30" ht="15.75" customHeight="1">
      <c r="G694" s="15"/>
      <c r="AD694" s="15"/>
    </row>
    <row r="695" spans="7:30" ht="15.75" customHeight="1">
      <c r="G695" s="15"/>
      <c r="AD695" s="15"/>
    </row>
    <row r="696" spans="7:30" ht="15.75" customHeight="1">
      <c r="G696" s="15"/>
      <c r="AD696" s="15"/>
    </row>
    <row r="697" spans="7:30" ht="15.75" customHeight="1">
      <c r="G697" s="15"/>
      <c r="AD697" s="15"/>
    </row>
    <row r="698" spans="7:30" ht="15.75" customHeight="1">
      <c r="G698" s="15"/>
      <c r="AD698" s="15"/>
    </row>
    <row r="699" spans="7:30" ht="15.75" customHeight="1">
      <c r="G699" s="15"/>
      <c r="AD699" s="15"/>
    </row>
    <row r="700" spans="7:30" ht="15.75" customHeight="1">
      <c r="G700" s="15"/>
      <c r="AD700" s="15"/>
    </row>
    <row r="701" spans="7:30" ht="15.75" customHeight="1">
      <c r="G701" s="15"/>
      <c r="AD701" s="15"/>
    </row>
    <row r="702" spans="7:30" ht="15.75" customHeight="1">
      <c r="G702" s="15"/>
      <c r="AD702" s="15"/>
    </row>
    <row r="703" spans="7:30" ht="15.75" customHeight="1">
      <c r="G703" s="15"/>
      <c r="AD703" s="15"/>
    </row>
    <row r="704" spans="7:30" ht="15.75" customHeight="1">
      <c r="G704" s="15"/>
      <c r="AD704" s="15"/>
    </row>
    <row r="705" spans="7:30" ht="15.75" customHeight="1">
      <c r="G705" s="15"/>
      <c r="AD705" s="15"/>
    </row>
    <row r="706" spans="7:30" ht="15.75" customHeight="1">
      <c r="G706" s="15"/>
      <c r="AD706" s="15"/>
    </row>
    <row r="707" spans="7:30" ht="15.75" customHeight="1">
      <c r="G707" s="15"/>
      <c r="AD707" s="15"/>
    </row>
    <row r="708" spans="7:30" ht="15.75" customHeight="1">
      <c r="G708" s="15"/>
      <c r="AD708" s="15"/>
    </row>
    <row r="709" spans="7:30" ht="15.75" customHeight="1">
      <c r="G709" s="15"/>
      <c r="AD709" s="15"/>
    </row>
    <row r="710" spans="7:30" ht="15.75" customHeight="1">
      <c r="G710" s="15"/>
      <c r="AD710" s="15"/>
    </row>
    <row r="711" spans="7:30" ht="15.75" customHeight="1">
      <c r="G711" s="15"/>
      <c r="AD711" s="15"/>
    </row>
    <row r="712" spans="7:30" ht="15.75" customHeight="1">
      <c r="G712" s="15"/>
      <c r="AD712" s="15"/>
    </row>
    <row r="713" spans="7:30" ht="15.75" customHeight="1">
      <c r="G713" s="15"/>
      <c r="AD713" s="15"/>
    </row>
    <row r="714" spans="7:30" ht="15.75" customHeight="1">
      <c r="G714" s="15"/>
      <c r="AD714" s="15"/>
    </row>
    <row r="715" spans="7:30" ht="15.75" customHeight="1">
      <c r="G715" s="15"/>
      <c r="AD715" s="15"/>
    </row>
    <row r="716" spans="7:30" ht="15.75" customHeight="1">
      <c r="G716" s="15"/>
      <c r="AD716" s="15"/>
    </row>
    <row r="717" spans="7:30" ht="15.75" customHeight="1">
      <c r="G717" s="15"/>
      <c r="AD717" s="15"/>
    </row>
    <row r="718" spans="7:30" ht="15.75" customHeight="1">
      <c r="G718" s="15"/>
      <c r="AD718" s="15"/>
    </row>
    <row r="719" spans="7:30" ht="15.75" customHeight="1">
      <c r="G719" s="15"/>
      <c r="AD719" s="15"/>
    </row>
    <row r="720" spans="7:30" ht="15.75" customHeight="1">
      <c r="G720" s="15"/>
      <c r="AD720" s="15"/>
    </row>
    <row r="721" spans="7:30" ht="15.75" customHeight="1">
      <c r="G721" s="15"/>
      <c r="AD721" s="15"/>
    </row>
    <row r="722" spans="7:30" ht="15.75" customHeight="1">
      <c r="G722" s="15"/>
      <c r="AD722" s="15"/>
    </row>
    <row r="723" spans="7:30" ht="15.75" customHeight="1">
      <c r="G723" s="15"/>
      <c r="AD723" s="15"/>
    </row>
    <row r="724" spans="7:30" ht="15.75" customHeight="1">
      <c r="G724" s="15"/>
      <c r="AD724" s="15"/>
    </row>
    <row r="725" spans="7:30" ht="15.75" customHeight="1">
      <c r="G725" s="15"/>
      <c r="AD725" s="15"/>
    </row>
    <row r="726" spans="7:30" ht="15.75" customHeight="1">
      <c r="G726" s="15"/>
      <c r="AD726" s="15"/>
    </row>
    <row r="727" spans="7:30" ht="15.75" customHeight="1">
      <c r="G727" s="15"/>
      <c r="AD727" s="15"/>
    </row>
    <row r="728" spans="7:30" ht="15.75" customHeight="1">
      <c r="G728" s="15"/>
      <c r="AD728" s="15"/>
    </row>
    <row r="729" spans="7:30" ht="15.75" customHeight="1">
      <c r="G729" s="15"/>
      <c r="AD729" s="15"/>
    </row>
    <row r="730" spans="7:30" ht="15.75" customHeight="1">
      <c r="G730" s="15"/>
      <c r="AD730" s="15"/>
    </row>
    <row r="731" spans="7:30" ht="15.75" customHeight="1">
      <c r="G731" s="15"/>
      <c r="AD731" s="15"/>
    </row>
    <row r="732" spans="7:30" ht="15.75" customHeight="1">
      <c r="G732" s="15"/>
      <c r="AD732" s="15"/>
    </row>
    <row r="733" spans="7:30" ht="15.75" customHeight="1">
      <c r="G733" s="15"/>
      <c r="AD733" s="15"/>
    </row>
    <row r="734" spans="7:30" ht="15.75" customHeight="1">
      <c r="G734" s="15"/>
      <c r="AD734" s="15"/>
    </row>
    <row r="735" spans="7:30" ht="15.75" customHeight="1">
      <c r="G735" s="15"/>
      <c r="AD735" s="15"/>
    </row>
    <row r="736" spans="7:30" ht="15.75" customHeight="1">
      <c r="G736" s="15"/>
      <c r="AD736" s="15"/>
    </row>
    <row r="737" spans="7:30" ht="15.75" customHeight="1">
      <c r="G737" s="15"/>
      <c r="AD737" s="15"/>
    </row>
    <row r="738" spans="7:30" ht="15.75" customHeight="1">
      <c r="G738" s="15"/>
      <c r="AD738" s="15"/>
    </row>
    <row r="739" spans="7:30" ht="15.75" customHeight="1">
      <c r="G739" s="15"/>
      <c r="AD739" s="15"/>
    </row>
    <row r="740" spans="7:30" ht="15.75" customHeight="1">
      <c r="G740" s="15"/>
      <c r="AD740" s="15"/>
    </row>
    <row r="741" spans="7:30" ht="15.75" customHeight="1">
      <c r="G741" s="15"/>
      <c r="AD741" s="15"/>
    </row>
    <row r="742" spans="7:30" ht="15.75" customHeight="1">
      <c r="G742" s="15"/>
      <c r="AD742" s="15"/>
    </row>
    <row r="743" spans="7:30" ht="15.75" customHeight="1">
      <c r="G743" s="15"/>
      <c r="AD743" s="15"/>
    </row>
    <row r="744" spans="7:30" ht="15.75" customHeight="1">
      <c r="G744" s="15"/>
      <c r="AD744" s="15"/>
    </row>
    <row r="745" spans="7:30" ht="15.75" customHeight="1">
      <c r="G745" s="15"/>
      <c r="AD745" s="15"/>
    </row>
    <row r="746" spans="7:30" ht="15.75" customHeight="1">
      <c r="G746" s="15"/>
      <c r="AD746" s="15"/>
    </row>
    <row r="747" spans="7:30" ht="15.75" customHeight="1">
      <c r="G747" s="15"/>
      <c r="AD747" s="15"/>
    </row>
    <row r="748" spans="7:30" ht="15.75" customHeight="1">
      <c r="G748" s="15"/>
      <c r="AD748" s="15"/>
    </row>
    <row r="749" spans="7:30" ht="15.75" customHeight="1">
      <c r="G749" s="15"/>
      <c r="AD749" s="15"/>
    </row>
    <row r="750" spans="7:30" ht="15.75" customHeight="1">
      <c r="G750" s="15"/>
      <c r="AD750" s="15"/>
    </row>
    <row r="751" spans="7:30" ht="15.75" customHeight="1">
      <c r="G751" s="15"/>
      <c r="AD751" s="15"/>
    </row>
    <row r="752" spans="7:30" ht="15.75" customHeight="1">
      <c r="G752" s="15"/>
      <c r="AD752" s="15"/>
    </row>
    <row r="753" spans="7:30" ht="15.75" customHeight="1">
      <c r="G753" s="15"/>
      <c r="AD753" s="15"/>
    </row>
    <row r="754" spans="7:30" ht="15.75" customHeight="1">
      <c r="G754" s="15"/>
      <c r="AD754" s="15"/>
    </row>
    <row r="755" spans="7:30" ht="15.75" customHeight="1">
      <c r="G755" s="15"/>
      <c r="AD755" s="15"/>
    </row>
    <row r="756" spans="7:30" ht="15.75" customHeight="1">
      <c r="G756" s="15"/>
      <c r="AD756" s="15"/>
    </row>
    <row r="757" spans="7:30" ht="15.75" customHeight="1">
      <c r="G757" s="15"/>
      <c r="AD757" s="15"/>
    </row>
    <row r="758" spans="7:30" ht="15.75" customHeight="1">
      <c r="G758" s="15"/>
      <c r="AD758" s="15"/>
    </row>
    <row r="759" spans="7:30" ht="15.75" customHeight="1">
      <c r="G759" s="15"/>
      <c r="AD759" s="15"/>
    </row>
    <row r="760" spans="7:30" ht="15.75" customHeight="1">
      <c r="G760" s="15"/>
      <c r="AD760" s="15"/>
    </row>
    <row r="761" spans="7:30" ht="15.75" customHeight="1">
      <c r="G761" s="15"/>
      <c r="AD761" s="15"/>
    </row>
    <row r="762" spans="7:30" ht="15.75" customHeight="1">
      <c r="G762" s="15"/>
      <c r="AD762" s="15"/>
    </row>
    <row r="763" spans="7:30" ht="15.75" customHeight="1">
      <c r="G763" s="15"/>
      <c r="AD763" s="15"/>
    </row>
    <row r="764" spans="7:30" ht="15.75" customHeight="1">
      <c r="G764" s="15"/>
      <c r="AD764" s="15"/>
    </row>
    <row r="765" spans="7:30" ht="15.75" customHeight="1">
      <c r="G765" s="15"/>
      <c r="AD765" s="15"/>
    </row>
    <row r="766" spans="7:30" ht="15.75" customHeight="1">
      <c r="G766" s="15"/>
      <c r="AD766" s="15"/>
    </row>
    <row r="767" spans="7:30" ht="15.75" customHeight="1">
      <c r="G767" s="15"/>
      <c r="AD767" s="15"/>
    </row>
    <row r="768" spans="7:30" ht="15.75" customHeight="1">
      <c r="G768" s="15"/>
      <c r="AD768" s="15"/>
    </row>
    <row r="769" spans="7:30" ht="15.75" customHeight="1">
      <c r="G769" s="15"/>
      <c r="AD769" s="15"/>
    </row>
    <row r="770" spans="7:30" ht="15.75" customHeight="1">
      <c r="G770" s="15"/>
      <c r="AD770" s="15"/>
    </row>
    <row r="771" spans="7:30" ht="15.75" customHeight="1">
      <c r="G771" s="15"/>
      <c r="AD771" s="15"/>
    </row>
    <row r="772" spans="7:30" ht="15.75" customHeight="1">
      <c r="G772" s="15"/>
      <c r="AD772" s="15"/>
    </row>
    <row r="773" spans="7:30" ht="15.75" customHeight="1">
      <c r="G773" s="15"/>
      <c r="AD773" s="15"/>
    </row>
    <row r="774" spans="7:30" ht="15.75" customHeight="1">
      <c r="G774" s="15"/>
      <c r="AD774" s="15"/>
    </row>
    <row r="775" spans="7:30" ht="15.75" customHeight="1">
      <c r="G775" s="15"/>
      <c r="AD775" s="15"/>
    </row>
    <row r="776" spans="7:30" ht="15.75" customHeight="1">
      <c r="G776" s="15"/>
      <c r="AD776" s="15"/>
    </row>
    <row r="777" spans="7:30" ht="15.75" customHeight="1">
      <c r="G777" s="15"/>
      <c r="AD777" s="15"/>
    </row>
    <row r="778" spans="7:30" ht="15.75" customHeight="1">
      <c r="G778" s="15"/>
      <c r="AD778" s="15"/>
    </row>
    <row r="779" spans="7:30" ht="15.75" customHeight="1">
      <c r="G779" s="15"/>
      <c r="AD779" s="15"/>
    </row>
    <row r="780" spans="7:30" ht="15.75" customHeight="1">
      <c r="G780" s="15"/>
      <c r="AD780" s="15"/>
    </row>
    <row r="781" spans="7:30" ht="15.75" customHeight="1">
      <c r="G781" s="15"/>
      <c r="AD781" s="15"/>
    </row>
    <row r="782" spans="7:30" ht="15.75" customHeight="1">
      <c r="G782" s="15"/>
      <c r="AD782" s="15"/>
    </row>
    <row r="783" spans="7:30" ht="15.75" customHeight="1">
      <c r="G783" s="15"/>
      <c r="AD783" s="15"/>
    </row>
    <row r="784" spans="7:30" ht="15.75" customHeight="1">
      <c r="G784" s="15"/>
      <c r="AD784" s="15"/>
    </row>
    <row r="785" spans="7:30" ht="15.75" customHeight="1">
      <c r="G785" s="15"/>
      <c r="AD785" s="15"/>
    </row>
    <row r="786" spans="7:30" ht="15.75" customHeight="1">
      <c r="G786" s="15"/>
      <c r="AD786" s="15"/>
    </row>
    <row r="787" spans="7:30" ht="15.75" customHeight="1">
      <c r="G787" s="15"/>
      <c r="AD787" s="15"/>
    </row>
    <row r="788" spans="7:30" ht="15.75" customHeight="1">
      <c r="G788" s="15"/>
      <c r="AD788" s="15"/>
    </row>
    <row r="789" spans="7:30" ht="15.75" customHeight="1">
      <c r="G789" s="15"/>
      <c r="AD789" s="15"/>
    </row>
    <row r="790" spans="7:30" ht="15.75" customHeight="1">
      <c r="G790" s="15"/>
      <c r="AD790" s="15"/>
    </row>
    <row r="791" spans="7:30" ht="15.75" customHeight="1">
      <c r="G791" s="15"/>
      <c r="AD791" s="15"/>
    </row>
    <row r="792" spans="7:30" ht="15.75" customHeight="1">
      <c r="G792" s="15"/>
      <c r="AD792" s="15"/>
    </row>
    <row r="793" spans="7:30" ht="15.75" customHeight="1">
      <c r="G793" s="15"/>
      <c r="AD793" s="15"/>
    </row>
    <row r="794" spans="7:30" ht="15.75" customHeight="1">
      <c r="G794" s="15"/>
      <c r="AD794" s="15"/>
    </row>
    <row r="795" spans="7:30" ht="15.75" customHeight="1">
      <c r="G795" s="15"/>
      <c r="AD795" s="15"/>
    </row>
    <row r="796" spans="7:30" ht="15.75" customHeight="1">
      <c r="G796" s="15"/>
      <c r="AD796" s="15"/>
    </row>
    <row r="797" spans="7:30" ht="15.75" customHeight="1">
      <c r="G797" s="15"/>
      <c r="AD797" s="15"/>
    </row>
    <row r="798" spans="7:30" ht="15.75" customHeight="1">
      <c r="G798" s="15"/>
      <c r="AD798" s="15"/>
    </row>
    <row r="799" spans="7:30" ht="15.75" customHeight="1">
      <c r="G799" s="15"/>
      <c r="AD799" s="15"/>
    </row>
    <row r="800" spans="7:30" ht="15.75" customHeight="1">
      <c r="G800" s="15"/>
      <c r="AD800" s="15"/>
    </row>
    <row r="801" spans="7:30" ht="15.75" customHeight="1">
      <c r="G801" s="15"/>
      <c r="AD801" s="15"/>
    </row>
    <row r="802" spans="7:30" ht="15.75" customHeight="1">
      <c r="G802" s="15"/>
      <c r="AD802" s="15"/>
    </row>
    <row r="803" spans="7:30" ht="15.75" customHeight="1">
      <c r="G803" s="15"/>
      <c r="AD803" s="15"/>
    </row>
    <row r="804" spans="7:30" ht="15.75" customHeight="1">
      <c r="G804" s="15"/>
      <c r="AD804" s="15"/>
    </row>
    <row r="805" spans="7:30" ht="15.75" customHeight="1">
      <c r="G805" s="15"/>
      <c r="AD805" s="15"/>
    </row>
    <row r="806" spans="7:30" ht="15.75" customHeight="1">
      <c r="G806" s="15"/>
      <c r="AD806" s="15"/>
    </row>
    <row r="807" spans="7:30" ht="15.75" customHeight="1">
      <c r="G807" s="15"/>
      <c r="AD807" s="15"/>
    </row>
    <row r="808" spans="7:30" ht="15.75" customHeight="1">
      <c r="G808" s="15"/>
      <c r="AD808" s="15"/>
    </row>
    <row r="809" spans="7:30" ht="15.75" customHeight="1">
      <c r="G809" s="15"/>
      <c r="AD809" s="15"/>
    </row>
    <row r="810" spans="7:30" ht="15.75" customHeight="1">
      <c r="G810" s="15"/>
      <c r="AD810" s="15"/>
    </row>
    <row r="811" spans="7:30" ht="15.75" customHeight="1">
      <c r="G811" s="15"/>
      <c r="AD811" s="15"/>
    </row>
    <row r="812" spans="7:30" ht="15.75" customHeight="1">
      <c r="G812" s="15"/>
      <c r="AD812" s="15"/>
    </row>
    <row r="813" spans="7:30" ht="15.75" customHeight="1">
      <c r="G813" s="15"/>
      <c r="AD813" s="15"/>
    </row>
    <row r="814" spans="7:30" ht="15.75" customHeight="1">
      <c r="G814" s="15"/>
      <c r="AD814" s="15"/>
    </row>
    <row r="815" spans="7:30" ht="15.75" customHeight="1">
      <c r="G815" s="15"/>
      <c r="AD815" s="15"/>
    </row>
    <row r="816" spans="7:30" ht="15.75" customHeight="1">
      <c r="G816" s="15"/>
      <c r="AD816" s="15"/>
    </row>
    <row r="817" spans="7:30" ht="15.75" customHeight="1">
      <c r="G817" s="15"/>
      <c r="AD817" s="15"/>
    </row>
    <row r="818" spans="7:30" ht="15.75" customHeight="1">
      <c r="G818" s="15"/>
      <c r="AD818" s="15"/>
    </row>
    <row r="819" spans="7:30" ht="15.75" customHeight="1">
      <c r="G819" s="15"/>
      <c r="AD819" s="15"/>
    </row>
    <row r="820" spans="7:30" ht="15.75" customHeight="1">
      <c r="G820" s="15"/>
      <c r="AD820" s="15"/>
    </row>
    <row r="821" spans="7:30" ht="15.75" customHeight="1">
      <c r="G821" s="15"/>
      <c r="AD821" s="15"/>
    </row>
    <row r="822" spans="7:30" ht="15.75" customHeight="1">
      <c r="G822" s="15"/>
      <c r="AD822" s="15"/>
    </row>
    <row r="823" spans="7:30" ht="15.75" customHeight="1">
      <c r="G823" s="15"/>
      <c r="AD823" s="15"/>
    </row>
    <row r="824" spans="7:30" ht="15.75" customHeight="1">
      <c r="G824" s="15"/>
      <c r="AD824" s="15"/>
    </row>
    <row r="825" spans="7:30" ht="15.75" customHeight="1">
      <c r="G825" s="15"/>
      <c r="AD825" s="15"/>
    </row>
    <row r="826" spans="7:30" ht="15.75" customHeight="1">
      <c r="G826" s="15"/>
      <c r="AD826" s="15"/>
    </row>
    <row r="827" spans="7:30" ht="15.75" customHeight="1">
      <c r="G827" s="15"/>
      <c r="AD827" s="15"/>
    </row>
    <row r="828" spans="7:30" ht="15.75" customHeight="1">
      <c r="G828" s="15"/>
      <c r="AD828" s="15"/>
    </row>
    <row r="829" spans="7:30" ht="15.75" customHeight="1">
      <c r="G829" s="15"/>
      <c r="AD829" s="15"/>
    </row>
    <row r="830" spans="7:30" ht="15.75" customHeight="1">
      <c r="G830" s="15"/>
      <c r="AD830" s="15"/>
    </row>
    <row r="831" spans="7:30" ht="15.75" customHeight="1">
      <c r="G831" s="15"/>
      <c r="AD831" s="15"/>
    </row>
    <row r="832" spans="7:30" ht="15.75" customHeight="1">
      <c r="G832" s="15"/>
      <c r="AD832" s="15"/>
    </row>
    <row r="833" spans="7:30" ht="15.75" customHeight="1">
      <c r="G833" s="15"/>
      <c r="AD833" s="15"/>
    </row>
    <row r="834" spans="7:30" ht="15.75" customHeight="1">
      <c r="G834" s="15"/>
      <c r="AD834" s="15"/>
    </row>
    <row r="835" spans="7:30" ht="15.75" customHeight="1">
      <c r="G835" s="15"/>
      <c r="AD835" s="15"/>
    </row>
    <row r="836" spans="7:30" ht="15.75" customHeight="1">
      <c r="G836" s="15"/>
      <c r="AD836" s="15"/>
    </row>
    <row r="837" spans="7:30" ht="15.75" customHeight="1">
      <c r="G837" s="15"/>
      <c r="AD837" s="15"/>
    </row>
    <row r="838" spans="7:30" ht="15.75" customHeight="1">
      <c r="G838" s="15"/>
      <c r="AD838" s="15"/>
    </row>
    <row r="839" spans="7:30" ht="15.75" customHeight="1">
      <c r="G839" s="15"/>
      <c r="AD839" s="15"/>
    </row>
    <row r="840" spans="7:30" ht="15.75" customHeight="1">
      <c r="G840" s="15"/>
      <c r="AD840" s="15"/>
    </row>
    <row r="841" spans="7:30" ht="15.75" customHeight="1">
      <c r="G841" s="15"/>
      <c r="AD841" s="15"/>
    </row>
    <row r="842" spans="7:30" ht="15.75" customHeight="1">
      <c r="G842" s="15"/>
      <c r="AD842" s="15"/>
    </row>
    <row r="843" spans="7:30" ht="15.75" customHeight="1">
      <c r="G843" s="15"/>
      <c r="AD843" s="15"/>
    </row>
    <row r="844" spans="7:30" ht="15.75" customHeight="1">
      <c r="G844" s="15"/>
      <c r="AD844" s="15"/>
    </row>
    <row r="845" spans="7:30" ht="15.75" customHeight="1">
      <c r="G845" s="15"/>
      <c r="AD845" s="15"/>
    </row>
    <row r="846" spans="7:30" ht="15.75" customHeight="1">
      <c r="G846" s="15"/>
      <c r="AD846" s="15"/>
    </row>
    <row r="847" spans="7:30" ht="15.75" customHeight="1">
      <c r="G847" s="15"/>
      <c r="AD847" s="15"/>
    </row>
    <row r="848" spans="7:30" ht="15.75" customHeight="1">
      <c r="G848" s="15"/>
      <c r="AD848" s="15"/>
    </row>
    <row r="849" spans="7:30" ht="15.75" customHeight="1">
      <c r="G849" s="15"/>
      <c r="AD849" s="15"/>
    </row>
    <row r="850" spans="7:30" ht="15.75" customHeight="1">
      <c r="G850" s="15"/>
      <c r="AD850" s="15"/>
    </row>
    <row r="851" spans="7:30" ht="15.75" customHeight="1">
      <c r="G851" s="15"/>
      <c r="AD851" s="15"/>
    </row>
    <row r="852" spans="7:30" ht="15.75" customHeight="1">
      <c r="G852" s="15"/>
      <c r="AD852" s="15"/>
    </row>
    <row r="853" spans="7:30" ht="15.75" customHeight="1">
      <c r="G853" s="15"/>
      <c r="AD853" s="15"/>
    </row>
    <row r="854" spans="7:30" ht="15.75" customHeight="1">
      <c r="G854" s="15"/>
      <c r="AD854" s="15"/>
    </row>
    <row r="855" spans="7:30" ht="15.75" customHeight="1">
      <c r="G855" s="15"/>
      <c r="AD855" s="15"/>
    </row>
    <row r="856" spans="7:30" ht="15.75" customHeight="1">
      <c r="G856" s="15"/>
      <c r="AD856" s="15"/>
    </row>
    <row r="857" spans="7:30" ht="15.75" customHeight="1">
      <c r="G857" s="15"/>
      <c r="AD857" s="15"/>
    </row>
    <row r="858" spans="7:30" ht="15.75" customHeight="1">
      <c r="G858" s="15"/>
      <c r="AD858" s="15"/>
    </row>
    <row r="859" spans="7:30" ht="15.75" customHeight="1">
      <c r="G859" s="15"/>
      <c r="AD859" s="15"/>
    </row>
    <row r="860" spans="7:30" ht="15.75" customHeight="1">
      <c r="G860" s="15"/>
      <c r="AD860" s="15"/>
    </row>
    <row r="861" spans="7:30" ht="15.75" customHeight="1">
      <c r="G861" s="15"/>
      <c r="AD861" s="15"/>
    </row>
    <row r="862" spans="7:30" ht="15.75" customHeight="1">
      <c r="G862" s="15"/>
      <c r="AD862" s="15"/>
    </row>
    <row r="863" spans="7:30" ht="15.75" customHeight="1">
      <c r="G863" s="15"/>
      <c r="AD863" s="15"/>
    </row>
    <row r="864" spans="7:30" ht="15.75" customHeight="1">
      <c r="G864" s="15"/>
      <c r="AD864" s="15"/>
    </row>
    <row r="865" spans="7:30" ht="15.75" customHeight="1">
      <c r="G865" s="15"/>
      <c r="AD865" s="15"/>
    </row>
    <row r="866" spans="7:30" ht="15.75" customHeight="1">
      <c r="G866" s="15"/>
      <c r="AD866" s="15"/>
    </row>
    <row r="867" spans="7:30" ht="15.75" customHeight="1">
      <c r="G867" s="15"/>
      <c r="AD867" s="15"/>
    </row>
    <row r="868" spans="7:30" ht="15.75" customHeight="1">
      <c r="G868" s="15"/>
      <c r="AD868" s="15"/>
    </row>
    <row r="869" spans="7:30" ht="15.75" customHeight="1">
      <c r="G869" s="15"/>
      <c r="AD869" s="15"/>
    </row>
    <row r="870" spans="7:30" ht="15.75" customHeight="1">
      <c r="G870" s="15"/>
      <c r="AD870" s="15"/>
    </row>
    <row r="871" spans="7:30" ht="15.75" customHeight="1">
      <c r="G871" s="15"/>
      <c r="AD871" s="15"/>
    </row>
    <row r="872" spans="7:30" ht="15.75" customHeight="1">
      <c r="G872" s="15"/>
      <c r="AD872" s="15"/>
    </row>
    <row r="873" spans="7:30" ht="15.75" customHeight="1">
      <c r="G873" s="15"/>
      <c r="AD873" s="15"/>
    </row>
    <row r="874" spans="7:30" ht="15.75" customHeight="1">
      <c r="G874" s="15"/>
      <c r="AD874" s="15"/>
    </row>
    <row r="875" spans="7:30" ht="15.75" customHeight="1">
      <c r="G875" s="15"/>
      <c r="AD875" s="15"/>
    </row>
    <row r="876" spans="7:30" ht="15.75" customHeight="1">
      <c r="G876" s="15"/>
      <c r="AD876" s="15"/>
    </row>
    <row r="877" spans="7:30" ht="15.75" customHeight="1">
      <c r="G877" s="15"/>
      <c r="AD877" s="15"/>
    </row>
    <row r="878" spans="7:30" ht="15.75" customHeight="1">
      <c r="G878" s="15"/>
      <c r="AD878" s="15"/>
    </row>
    <row r="879" spans="7:30" ht="15.75" customHeight="1">
      <c r="G879" s="15"/>
      <c r="AD879" s="15"/>
    </row>
    <row r="880" spans="7:30" ht="15.75" customHeight="1">
      <c r="G880" s="15"/>
      <c r="AD880" s="15"/>
    </row>
    <row r="881" spans="7:30" ht="15.75" customHeight="1">
      <c r="G881" s="15"/>
      <c r="AD881" s="15"/>
    </row>
    <row r="882" spans="7:30" ht="15.75" customHeight="1">
      <c r="G882" s="15"/>
      <c r="AD882" s="15"/>
    </row>
    <row r="883" spans="7:30" ht="15.75" customHeight="1">
      <c r="G883" s="15"/>
      <c r="AD883" s="15"/>
    </row>
    <row r="884" spans="7:30" ht="15.75" customHeight="1">
      <c r="G884" s="15"/>
      <c r="AD884" s="15"/>
    </row>
    <row r="885" spans="7:30" ht="15.75" customHeight="1">
      <c r="G885" s="15"/>
      <c r="AD885" s="15"/>
    </row>
    <row r="886" spans="7:30" ht="15.75" customHeight="1">
      <c r="G886" s="15"/>
      <c r="AD886" s="15"/>
    </row>
    <row r="887" spans="7:30" ht="15.75" customHeight="1">
      <c r="G887" s="15"/>
      <c r="AD887" s="15"/>
    </row>
    <row r="888" spans="7:30" ht="15.75" customHeight="1">
      <c r="G888" s="15"/>
      <c r="AD888" s="15"/>
    </row>
    <row r="889" spans="7:30" ht="15.75" customHeight="1">
      <c r="G889" s="15"/>
      <c r="AD889" s="15"/>
    </row>
    <row r="890" spans="7:30" ht="15.75" customHeight="1">
      <c r="G890" s="15"/>
      <c r="AD890" s="15"/>
    </row>
    <row r="891" spans="7:30" ht="15.75" customHeight="1">
      <c r="G891" s="15"/>
      <c r="AD891" s="15"/>
    </row>
    <row r="892" spans="7:30" ht="15.75" customHeight="1">
      <c r="G892" s="15"/>
      <c r="AD892" s="15"/>
    </row>
    <row r="893" spans="7:30" ht="15.75" customHeight="1">
      <c r="G893" s="15"/>
      <c r="AD893" s="15"/>
    </row>
    <row r="894" spans="7:30" ht="15.75" customHeight="1">
      <c r="G894" s="15"/>
      <c r="AD894" s="15"/>
    </row>
    <row r="895" spans="7:30" ht="15.75" customHeight="1">
      <c r="G895" s="15"/>
      <c r="AD895" s="15"/>
    </row>
    <row r="896" spans="7:30" ht="15.75" customHeight="1">
      <c r="G896" s="15"/>
      <c r="AD896" s="15"/>
    </row>
    <row r="897" spans="7:30" ht="15.75" customHeight="1">
      <c r="G897" s="15"/>
      <c r="AD897" s="15"/>
    </row>
    <row r="898" spans="7:30" ht="15.75" customHeight="1">
      <c r="G898" s="15"/>
      <c r="AD898" s="15"/>
    </row>
    <row r="899" spans="7:30" ht="15.75" customHeight="1">
      <c r="G899" s="15"/>
      <c r="AD899" s="15"/>
    </row>
    <row r="900" spans="7:30" ht="15.75" customHeight="1">
      <c r="G900" s="15"/>
      <c r="AD900" s="15"/>
    </row>
    <row r="901" spans="7:30" ht="15.75" customHeight="1">
      <c r="G901" s="15"/>
      <c r="AD901" s="15"/>
    </row>
    <row r="902" spans="7:30" ht="15.75" customHeight="1">
      <c r="G902" s="15"/>
      <c r="AD902" s="15"/>
    </row>
    <row r="903" spans="7:30" ht="15.75" customHeight="1">
      <c r="G903" s="15"/>
      <c r="AD903" s="15"/>
    </row>
    <row r="904" spans="7:30" ht="15.75" customHeight="1">
      <c r="G904" s="15"/>
      <c r="AD904" s="15"/>
    </row>
    <row r="905" spans="7:30" ht="15.75" customHeight="1">
      <c r="G905" s="15"/>
      <c r="AD905" s="15"/>
    </row>
    <row r="906" spans="7:30" ht="15.75" customHeight="1">
      <c r="G906" s="15"/>
      <c r="AD906" s="15"/>
    </row>
    <row r="907" spans="7:30" ht="15.75" customHeight="1">
      <c r="G907" s="15"/>
      <c r="AD907" s="15"/>
    </row>
    <row r="908" spans="7:30" ht="15.75" customHeight="1">
      <c r="G908" s="15"/>
      <c r="AD908" s="15"/>
    </row>
    <row r="909" spans="7:30" ht="15.75" customHeight="1">
      <c r="G909" s="15"/>
      <c r="AD909" s="15"/>
    </row>
    <row r="910" spans="7:30" ht="15.75" customHeight="1">
      <c r="G910" s="15"/>
      <c r="AD910" s="15"/>
    </row>
    <row r="911" spans="7:30" ht="15.75" customHeight="1">
      <c r="G911" s="15"/>
      <c r="AD911" s="15"/>
    </row>
    <row r="912" spans="7:30" ht="15.75" customHeight="1">
      <c r="G912" s="15"/>
      <c r="AD912" s="15"/>
    </row>
    <row r="913" spans="7:30" ht="15.75" customHeight="1">
      <c r="G913" s="15"/>
      <c r="AD913" s="15"/>
    </row>
    <row r="914" spans="7:30" ht="15.75" customHeight="1">
      <c r="G914" s="15"/>
      <c r="AD914" s="15"/>
    </row>
    <row r="915" spans="7:30" ht="15.75" customHeight="1">
      <c r="G915" s="15"/>
      <c r="AD915" s="15"/>
    </row>
    <row r="916" spans="7:30" ht="15.75" customHeight="1">
      <c r="G916" s="15"/>
      <c r="AD916" s="15"/>
    </row>
    <row r="917" spans="7:30" ht="15.75" customHeight="1">
      <c r="G917" s="15"/>
      <c r="AD917" s="15"/>
    </row>
    <row r="918" spans="7:30" ht="15.75" customHeight="1">
      <c r="G918" s="15"/>
      <c r="AD918" s="15"/>
    </row>
    <row r="919" spans="7:30" ht="15.75" customHeight="1">
      <c r="G919" s="15"/>
      <c r="AD919" s="15"/>
    </row>
    <row r="920" spans="7:30" ht="15.75" customHeight="1">
      <c r="G920" s="15"/>
      <c r="AD920" s="15"/>
    </row>
    <row r="921" spans="7:30" ht="15.75" customHeight="1">
      <c r="G921" s="15"/>
      <c r="AD921" s="15"/>
    </row>
    <row r="922" spans="7:30" ht="15.75" customHeight="1">
      <c r="G922" s="15"/>
      <c r="AD922" s="15"/>
    </row>
    <row r="923" spans="7:30" ht="15.75" customHeight="1">
      <c r="G923" s="15"/>
      <c r="AD923" s="15"/>
    </row>
    <row r="924" spans="7:30" ht="15.75" customHeight="1">
      <c r="G924" s="15"/>
      <c r="AD924" s="15"/>
    </row>
    <row r="925" spans="7:30" ht="15.75" customHeight="1">
      <c r="G925" s="15"/>
      <c r="AD925" s="15"/>
    </row>
    <row r="926" spans="7:30" ht="15.75" customHeight="1">
      <c r="G926" s="15"/>
      <c r="AD926" s="15"/>
    </row>
    <row r="927" spans="7:30" ht="15.75" customHeight="1">
      <c r="G927" s="15"/>
      <c r="AD927" s="15"/>
    </row>
    <row r="928" spans="7:30" ht="15.75" customHeight="1">
      <c r="G928" s="15"/>
      <c r="AD928" s="15"/>
    </row>
    <row r="929" spans="7:30" ht="15.75" customHeight="1">
      <c r="G929" s="15"/>
      <c r="AD929" s="15"/>
    </row>
    <row r="930" spans="7:30" ht="15.75" customHeight="1">
      <c r="G930" s="15"/>
      <c r="AD930" s="15"/>
    </row>
    <row r="931" spans="7:30" ht="15.75" customHeight="1">
      <c r="G931" s="15"/>
      <c r="AD931" s="15"/>
    </row>
    <row r="932" spans="7:30" ht="15.75" customHeight="1">
      <c r="G932" s="15"/>
      <c r="AD932" s="15"/>
    </row>
    <row r="933" spans="7:30" ht="15.75" customHeight="1">
      <c r="G933" s="15"/>
      <c r="AD933" s="15"/>
    </row>
    <row r="934" spans="7:30" ht="15.75" customHeight="1">
      <c r="G934" s="15"/>
      <c r="AD934" s="15"/>
    </row>
    <row r="935" spans="7:30" ht="15.75" customHeight="1">
      <c r="G935" s="15"/>
      <c r="AD935" s="15"/>
    </row>
    <row r="936" spans="7:30" ht="15.75" customHeight="1">
      <c r="G936" s="15"/>
      <c r="AD936" s="15"/>
    </row>
    <row r="937" spans="7:30" ht="15.75" customHeight="1">
      <c r="G937" s="15"/>
      <c r="AD937" s="15"/>
    </row>
    <row r="938" spans="7:30" ht="15.75" customHeight="1">
      <c r="G938" s="15"/>
      <c r="AD938" s="15"/>
    </row>
    <row r="939" spans="7:30" ht="15.75" customHeight="1">
      <c r="G939" s="15"/>
      <c r="AD939" s="15"/>
    </row>
    <row r="940" spans="7:30" ht="15.75" customHeight="1">
      <c r="G940" s="15"/>
      <c r="AD940" s="15"/>
    </row>
    <row r="941" spans="7:30" ht="15.75" customHeight="1">
      <c r="G941" s="15"/>
      <c r="AD941" s="15"/>
    </row>
    <row r="942" spans="7:30" ht="15.75" customHeight="1">
      <c r="G942" s="15"/>
      <c r="AD942" s="15"/>
    </row>
    <row r="943" spans="7:30" ht="15.75" customHeight="1">
      <c r="G943" s="15"/>
      <c r="AD943" s="15"/>
    </row>
    <row r="944" spans="7:30" ht="15.75" customHeight="1">
      <c r="G944" s="15"/>
      <c r="AD944" s="15"/>
    </row>
    <row r="945" spans="7:30" ht="15.75" customHeight="1">
      <c r="G945" s="15"/>
      <c r="AD945" s="15"/>
    </row>
    <row r="946" spans="7:30" ht="15.75" customHeight="1">
      <c r="G946" s="15"/>
      <c r="AD946" s="15"/>
    </row>
    <row r="947" spans="7:30" ht="15.75" customHeight="1">
      <c r="G947" s="15"/>
      <c r="AD947" s="15"/>
    </row>
    <row r="948" spans="7:30" ht="15.75" customHeight="1">
      <c r="G948" s="15"/>
      <c r="AD948" s="15"/>
    </row>
    <row r="949" spans="7:30" ht="15.75" customHeight="1">
      <c r="G949" s="15"/>
      <c r="AD949" s="15"/>
    </row>
    <row r="950" spans="7:30" ht="15.75" customHeight="1">
      <c r="G950" s="15"/>
      <c r="AD950" s="15"/>
    </row>
    <row r="951" spans="7:30" ht="15.75" customHeight="1">
      <c r="G951" s="15"/>
      <c r="AD951" s="15"/>
    </row>
    <row r="952" spans="7:30" ht="15.75" customHeight="1">
      <c r="G952" s="15"/>
      <c r="AD952" s="15"/>
    </row>
    <row r="953" spans="7:30" ht="15.75" customHeight="1">
      <c r="G953" s="15"/>
      <c r="AD953" s="15"/>
    </row>
    <row r="954" spans="7:30" ht="15.75" customHeight="1">
      <c r="G954" s="15"/>
      <c r="AD954" s="15"/>
    </row>
    <row r="955" spans="7:30" ht="15.75" customHeight="1">
      <c r="G955" s="15"/>
      <c r="AD955" s="15"/>
    </row>
    <row r="956" spans="7:30" ht="15.75" customHeight="1">
      <c r="G956" s="15"/>
      <c r="AD956" s="15"/>
    </row>
    <row r="957" spans="7:30" ht="15.75" customHeight="1">
      <c r="G957" s="15"/>
      <c r="AD957" s="15"/>
    </row>
    <row r="958" spans="7:30" ht="15.75" customHeight="1">
      <c r="G958" s="15"/>
      <c r="AD958" s="15"/>
    </row>
    <row r="959" spans="7:30" ht="15.75" customHeight="1">
      <c r="G959" s="15"/>
      <c r="AD959" s="15"/>
    </row>
    <row r="960" spans="7:30" ht="15.75" customHeight="1">
      <c r="G960" s="15"/>
      <c r="AD960" s="15"/>
    </row>
    <row r="961" spans="7:30" ht="15.75" customHeight="1">
      <c r="G961" s="15"/>
      <c r="AD961" s="15"/>
    </row>
    <row r="962" spans="7:30" ht="15.75" customHeight="1">
      <c r="G962" s="15"/>
      <c r="AD962" s="15"/>
    </row>
    <row r="963" spans="7:30" ht="15.75" customHeight="1">
      <c r="G963" s="15"/>
      <c r="AD963" s="15"/>
    </row>
    <row r="964" spans="7:30" ht="15.75" customHeight="1">
      <c r="G964" s="15"/>
      <c r="AD964" s="15"/>
    </row>
    <row r="965" spans="7:30" ht="15.75" customHeight="1">
      <c r="G965" s="15"/>
      <c r="AD965" s="15"/>
    </row>
    <row r="966" spans="7:30" ht="15.75" customHeight="1">
      <c r="G966" s="15"/>
      <c r="AD966" s="15"/>
    </row>
    <row r="967" spans="7:30" ht="15.75" customHeight="1">
      <c r="G967" s="15"/>
      <c r="AD967" s="15"/>
    </row>
    <row r="968" spans="7:30" ht="15.75" customHeight="1">
      <c r="G968" s="15"/>
      <c r="AD968" s="15"/>
    </row>
    <row r="969" spans="7:30" ht="15.75" customHeight="1">
      <c r="G969" s="15"/>
      <c r="AD969" s="15"/>
    </row>
    <row r="970" spans="7:30" ht="15.75" customHeight="1">
      <c r="G970" s="15"/>
      <c r="AD970" s="15"/>
    </row>
    <row r="971" spans="7:30" ht="15.75" customHeight="1">
      <c r="G971" s="15"/>
      <c r="AD971" s="15"/>
    </row>
    <row r="972" spans="7:30" ht="15.75" customHeight="1">
      <c r="G972" s="15"/>
      <c r="AD972" s="15"/>
    </row>
    <row r="973" spans="7:30" ht="15.75" customHeight="1">
      <c r="G973" s="15"/>
      <c r="AD973" s="15"/>
    </row>
    <row r="974" spans="7:30" ht="15.75" customHeight="1">
      <c r="G974" s="15"/>
      <c r="AD974" s="15"/>
    </row>
    <row r="975" spans="7:30" ht="15.75" customHeight="1">
      <c r="G975" s="15"/>
      <c r="AD975" s="15"/>
    </row>
    <row r="976" spans="7:30" ht="15.75" customHeight="1">
      <c r="G976" s="15"/>
      <c r="AD976" s="15"/>
    </row>
    <row r="977" spans="7:30" ht="15.75" customHeight="1">
      <c r="G977" s="15"/>
      <c r="AD977" s="15"/>
    </row>
    <row r="978" spans="7:30" ht="15.75" customHeight="1">
      <c r="G978" s="15"/>
      <c r="AD978" s="15"/>
    </row>
    <row r="979" spans="7:30" ht="15.75" customHeight="1">
      <c r="G979" s="15"/>
      <c r="AD979" s="15"/>
    </row>
    <row r="980" spans="7:30" ht="15.75" customHeight="1">
      <c r="G980" s="15"/>
      <c r="AD980" s="15"/>
    </row>
    <row r="981" spans="7:30" ht="15.75" customHeight="1">
      <c r="G981" s="15"/>
      <c r="AD981" s="15"/>
    </row>
    <row r="982" spans="7:30" ht="15.75" customHeight="1">
      <c r="G982" s="15"/>
      <c r="AD982" s="15"/>
    </row>
    <row r="983" spans="7:30" ht="15.75" customHeight="1">
      <c r="G983" s="15"/>
      <c r="AD983" s="15"/>
    </row>
    <row r="984" spans="7:30" ht="15.75" customHeight="1">
      <c r="G984" s="15"/>
      <c r="AD984" s="15"/>
    </row>
    <row r="985" spans="7:30" ht="15.75" customHeight="1">
      <c r="G985" s="15"/>
      <c r="AD985" s="15"/>
    </row>
    <row r="986" spans="7:30" ht="15.75" customHeight="1">
      <c r="G986" s="15"/>
      <c r="AD986" s="15"/>
    </row>
    <row r="987" spans="7:30" ht="15.75" customHeight="1">
      <c r="G987" s="15"/>
      <c r="AD987" s="15"/>
    </row>
    <row r="988" spans="7:30" ht="15.75" customHeight="1">
      <c r="G988" s="15"/>
      <c r="AD988" s="15"/>
    </row>
  </sheetData>
  <autoFilter ref="Z3:AA3" xr:uid="{00000000-0001-0000-0100-000000000000}"/>
  <mergeCells count="26">
    <mergeCell ref="AI1:AI3"/>
    <mergeCell ref="Q2:Q3"/>
    <mergeCell ref="R2:U2"/>
    <mergeCell ref="V1:W2"/>
    <mergeCell ref="AE1:AE3"/>
    <mergeCell ref="X2:X3"/>
    <mergeCell ref="Y2:Y3"/>
    <mergeCell ref="X1:AA1"/>
    <mergeCell ref="Z2:AA2"/>
    <mergeCell ref="AH1:AH3"/>
    <mergeCell ref="AG1:AG3"/>
    <mergeCell ref="J1:M2"/>
    <mergeCell ref="N1:O2"/>
    <mergeCell ref="C1:D2"/>
    <mergeCell ref="E1:F2"/>
    <mergeCell ref="AF1:AF3"/>
    <mergeCell ref="P1:U1"/>
    <mergeCell ref="AB1:AB3"/>
    <mergeCell ref="AC1:AC3"/>
    <mergeCell ref="AD1:AD3"/>
    <mergeCell ref="P2:P3"/>
    <mergeCell ref="A1:A3"/>
    <mergeCell ref="B1:B3"/>
    <mergeCell ref="G1:G3"/>
    <mergeCell ref="H1:H3"/>
    <mergeCell ref="I1:I3"/>
  </mergeCells>
  <conditionalFormatting sqref="R3:W3 Z3:AA3 X2:Y2 N3:O3 P2:Q2">
    <cfRule type="colorScale" priority="3">
      <colorScale>
        <cfvo type="min"/>
        <cfvo type="max"/>
        <color rgb="FFFFFFFF"/>
        <color rgb="FF57BB8A"/>
      </colorScale>
    </cfRule>
  </conditionalFormatting>
  <dataValidations count="2">
    <dataValidation type="list" allowBlank="1" showErrorMessage="1" sqref="I4:I44" xr:uid="{00000000-0002-0000-0100-000000000000}">
      <formula1>"Positive,Negative"</formula1>
    </dataValidation>
    <dataValidation type="list" allowBlank="1" showErrorMessage="1" sqref="AE4:AF44" xr:uid="{00000000-0002-0000-0100-000001000000}">
      <formula1>"Not Start,Inprogress,Failed,Passed,Skip"</formula1>
    </dataValidation>
  </dataValidations>
  <hyperlinks>
    <hyperlink ref="AG15" r:id="rId1" xr:uid="{00000000-0004-0000-0100-00000D000000}"/>
    <hyperlink ref="AC17" r:id="rId2" xr:uid="{00000000-0004-0000-0100-00000F000000}"/>
    <hyperlink ref="AG34" r:id="rId3" xr:uid="{00000000-0004-0000-0100-00001F000000}"/>
    <hyperlink ref="AG35" r:id="rId4" xr:uid="{00000000-0004-0000-0100-000020000000}"/>
    <hyperlink ref="AG36" r:id="rId5" xr:uid="{00000000-0004-0000-0100-000021000000}"/>
    <hyperlink ref="C4" r:id="rId6" xr:uid="{E843B5D4-AB9F-4650-9BB7-F08143EA8C97}"/>
    <hyperlink ref="E17" r:id="rId7" xr:uid="{84CEB42B-DE59-472B-86E6-DE823657D8B9}"/>
    <hyperlink ref="C17" r:id="rId8" xr:uid="{ED0F701E-D320-438A-890A-932A8554F568}"/>
    <hyperlink ref="C18" r:id="rId9" xr:uid="{38E57285-6857-438A-A36A-658894F061BE}"/>
    <hyperlink ref="E18" r:id="rId10" xr:uid="{7F30DCCF-43CA-4B74-9C06-5AA5F78D3E92}"/>
    <hyperlink ref="E19" r:id="rId11" xr:uid="{F7C368F7-5E7A-4327-B3F3-2000246FD79B}"/>
    <hyperlink ref="C19" r:id="rId12" xr:uid="{8CBD870A-CD79-485A-9BDA-8F900834B084}"/>
    <hyperlink ref="E20" r:id="rId13" xr:uid="{12D2ADDE-E439-4610-BFD5-1E592AC705A2}"/>
    <hyperlink ref="C20" r:id="rId14" xr:uid="{9F941EB5-EC57-400F-9CA0-9E815B9A259E}"/>
    <hyperlink ref="C21" r:id="rId15" xr:uid="{F0DCCDAA-D598-42D4-9CD9-CC84363F396E}"/>
    <hyperlink ref="E21" r:id="rId16" xr:uid="{A2F3D6CB-F062-4054-8A4E-5AADFDCA827B}"/>
    <hyperlink ref="C22" r:id="rId17" xr:uid="{4CDD0989-A2DF-488F-9602-ADDDD61DFCA7}"/>
    <hyperlink ref="E22" r:id="rId18" xr:uid="{F6D10374-79EE-4999-B888-1BD5C0920E8C}"/>
    <hyperlink ref="C24" r:id="rId19" xr:uid="{EF46A100-FA78-4B35-9C7C-76CACFDAD8F2}"/>
    <hyperlink ref="E24" r:id="rId20" xr:uid="{DE489FEA-D64A-4CE6-A8A2-DDFE6C06FF01}"/>
    <hyperlink ref="E4" r:id="rId21" xr:uid="{D621053D-7519-4F32-96CF-3A4F21017A25}"/>
    <hyperlink ref="E26" r:id="rId22" xr:uid="{E0344B25-2C5E-467E-A374-489302D37F05}"/>
    <hyperlink ref="E27" r:id="rId23" xr:uid="{F03D6119-2D46-45EF-807D-B663D0C5DD50}"/>
    <hyperlink ref="E42" r:id="rId24" xr:uid="{B2F132AE-C02C-48BF-9B34-CB9F3A70F829}"/>
    <hyperlink ref="E43" r:id="rId25" xr:uid="{BC938708-B342-4918-8D36-6AC322387EB1}"/>
    <hyperlink ref="E44" r:id="rId26" xr:uid="{E9F9659C-6DFA-40BE-9E2B-26204894B44B}"/>
    <hyperlink ref="C26" r:id="rId27" xr:uid="{91A4E983-91CF-402E-88DF-4CADF82BBE62}"/>
    <hyperlink ref="C27" r:id="rId28" xr:uid="{2B2FACC6-0943-4052-B641-6F2DF9FB0043}"/>
    <hyperlink ref="C42" r:id="rId29" xr:uid="{1E8242B5-BF83-4942-BD58-4C9CCC5B562F}"/>
    <hyperlink ref="C43" r:id="rId30" xr:uid="{0C8AA4E4-312B-4ADA-BD53-7168A4C8F0B4}"/>
    <hyperlink ref="C44" r:id="rId31" xr:uid="{86160D92-479B-4047-9F8D-A2651D1F6798}"/>
    <hyperlink ref="C29" r:id="rId32" xr:uid="{463C59FB-0BD8-4FFE-8928-0E5905CBD671}"/>
    <hyperlink ref="C30" r:id="rId33" xr:uid="{54F350F0-DFE9-4240-9B61-3A51E40BD226}"/>
    <hyperlink ref="C31" r:id="rId34" xr:uid="{176BBDDA-45BF-4B91-91BF-0B9C6D4C4864}"/>
    <hyperlink ref="C32" r:id="rId35" xr:uid="{3CBF3099-0A69-42D3-8D55-235546A554F6}"/>
    <hyperlink ref="C33" r:id="rId36" xr:uid="{F9281F53-829D-44EA-B10B-469AAE4D9361}"/>
    <hyperlink ref="C34" r:id="rId37" xr:uid="{6E1BCF7C-2D13-44E3-8E20-D630DECDC7B6}"/>
    <hyperlink ref="C35" r:id="rId38" xr:uid="{63DF4A3D-13FC-4F62-881C-BE74BC12184B}"/>
    <hyperlink ref="C36" r:id="rId39" xr:uid="{86DEAC75-F453-4245-B10A-5618B20897BA}"/>
    <hyperlink ref="C37" r:id="rId40" xr:uid="{42E80CAD-9779-413B-924F-E5A0675A4CEF}"/>
    <hyperlink ref="C38" r:id="rId41" xr:uid="{E41B186E-5806-40F1-91D7-93667F990545}"/>
    <hyperlink ref="C39" r:id="rId42" xr:uid="{02266268-40E8-4928-A01C-F8E86D7AF9CB}"/>
    <hyperlink ref="C40" r:id="rId43" xr:uid="{377F82E7-BB05-42AF-B277-42B75928B6DD}"/>
    <hyperlink ref="C41" r:id="rId44" xr:uid="{FB718863-E581-4330-A2C6-46452DA16D77}"/>
    <hyperlink ref="C12" r:id="rId45" xr:uid="{5A710758-5453-4677-AF29-DFB80BECBC35}"/>
    <hyperlink ref="C16" r:id="rId46" xr:uid="{7D13CAB1-7E56-4AA2-8516-E31DC8C98BBD}"/>
    <hyperlink ref="C14" r:id="rId47" xr:uid="{25AB0C26-3029-4801-A432-3B741245E6B0}"/>
    <hyperlink ref="C15" r:id="rId48" xr:uid="{AE1A0688-1166-4885-9416-95283C587407}"/>
    <hyperlink ref="E12" r:id="rId49" xr:uid="{C7FE7984-A61E-4689-999A-1178FC714D4E}"/>
    <hyperlink ref="E14" r:id="rId50" xr:uid="{75471F34-2B63-42B2-A7C9-D95A10C95C5B}"/>
    <hyperlink ref="E15" r:id="rId51" xr:uid="{79E52371-092E-408E-91B0-02B1A73418B3}"/>
    <hyperlink ref="E29" r:id="rId52" xr:uid="{0D2A6EF8-6DC1-4059-8884-C35629B1FCC4}"/>
    <hyperlink ref="E30" r:id="rId53" xr:uid="{CD202C25-9A47-4238-B12F-E83AD3CCA133}"/>
    <hyperlink ref="E31" r:id="rId54" xr:uid="{EE9508FB-ED5A-4878-9DD0-93FED42C2464}"/>
    <hyperlink ref="E32" r:id="rId55" xr:uid="{FAFC4D96-CE44-4A43-B30D-D2E2BEA1C8A5}"/>
    <hyperlink ref="E33" r:id="rId56" xr:uid="{05D62A59-7A1B-43D6-AB5F-511675D4D272}"/>
    <hyperlink ref="E34" r:id="rId57" xr:uid="{5AE1D600-A113-40F8-AB72-83F73908A1AC}"/>
    <hyperlink ref="E35" r:id="rId58" xr:uid="{2277BCA1-BB95-4E43-A1A9-27DBB7448DD9}"/>
    <hyperlink ref="E36" r:id="rId59" xr:uid="{856FF9D2-842E-465F-975F-36957110720F}"/>
    <hyperlink ref="E37" r:id="rId60" xr:uid="{B7A47758-7719-4435-9273-C001234E4CF9}"/>
    <hyperlink ref="E38" r:id="rId61" xr:uid="{BA2C7E8F-F5AC-4B27-B556-E7EAED14978D}"/>
    <hyperlink ref="E39" r:id="rId62" xr:uid="{19130666-2125-4F2F-9D7A-56141C4DC6B4}"/>
    <hyperlink ref="E40" r:id="rId63" xr:uid="{F248F1B0-026B-428B-82A4-C682E2694FBA}"/>
    <hyperlink ref="E41" r:id="rId64" xr:uid="{C54C1CD4-275A-4DA8-8134-16A95461A2F8}"/>
    <hyperlink ref="E16" r:id="rId65" xr:uid="{E676B5CE-61D7-44CF-A531-F5F8F15786AE}"/>
    <hyperlink ref="E5" r:id="rId66" xr:uid="{C96F1730-9981-4DF0-A6CF-168A2E5BD337}"/>
    <hyperlink ref="C5" r:id="rId67" xr:uid="{0062E7F9-0FF0-4218-BBC7-F9971B8F379A}"/>
    <hyperlink ref="E6" r:id="rId68" xr:uid="{1AC4D7F1-EE3D-4E56-BF57-8AF090C627A4}"/>
    <hyperlink ref="C6" r:id="rId69" xr:uid="{9781D0CB-ECE9-46F1-9EB4-3738A95BCE0D}"/>
    <hyperlink ref="E7" r:id="rId70" xr:uid="{4FC1C1F6-163F-4C3A-8083-168FC16E0BC6}"/>
    <hyperlink ref="C7" r:id="rId71" xr:uid="{2E3B6C5E-E5DD-4230-914B-FD60EAFA2DA1}"/>
    <hyperlink ref="E11" r:id="rId72" xr:uid="{CB8864F8-5967-4B6F-A646-31513AAB49AB}"/>
    <hyperlink ref="C11" r:id="rId73" xr:uid="{81EDCC1B-BEE0-4D07-9512-CDB0A217A05A}"/>
    <hyperlink ref="C13" r:id="rId74" xr:uid="{494D0F3A-E000-4901-850A-FF20D6F6C488}"/>
    <hyperlink ref="E13" r:id="rId75" xr:uid="{DD9EAC67-AB8B-4CA7-9076-693FFFE6307B}"/>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7AC3EE-1789-4C18-91C4-6AC732E290FF}"/>
</file>

<file path=customXml/itemProps2.xml><?xml version="1.0" encoding="utf-8"?>
<ds:datastoreItem xmlns:ds="http://schemas.openxmlformats.org/officeDocument/2006/customXml" ds:itemID="{7899C4AA-311B-41E5-80BD-3B3D682592E7}"/>
</file>

<file path=customXml/itemProps3.xml><?xml version="1.0" encoding="utf-8"?>
<ds:datastoreItem xmlns:ds="http://schemas.openxmlformats.org/officeDocument/2006/customXml" ds:itemID="{C95D8D30-4EE6-447D-8C31-3C34314CDC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Supawit Kongjarean</cp:lastModifiedBy>
  <cp:revision/>
  <dcterms:created xsi:type="dcterms:W3CDTF">2026-03-18T06:35:01Z</dcterms:created>
  <dcterms:modified xsi:type="dcterms:W3CDTF">2026-06-16T10:13:33Z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306500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xd_Signature">
    <vt:bool>false</vt:bool>
  </property>
  <property fmtid="{D5CDD505-2E9C-101B-9397-08002B2CF9AE}" pid="9" name="xd_ProgID">
    <vt:lpwstr/>
  </property>
  <property fmtid="{D5CDD505-2E9C-101B-9397-08002B2CF9AE}" pid="10" name="Status">
    <vt:lpwstr>In progress</vt:lpwstr>
  </property>
  <property fmtid="{D5CDD505-2E9C-101B-9397-08002B2CF9AE}" pid="11" name="_SourceUrl">
    <vt:lpwstr/>
  </property>
  <property fmtid="{D5CDD505-2E9C-101B-9397-08002B2CF9AE}" pid="12" name="_SharedFileIndex">
    <vt:lpwstr/>
  </property>
  <property fmtid="{D5CDD505-2E9C-101B-9397-08002B2CF9AE}" pid="13" name="TemplateUrl">
    <vt:lpwstr/>
  </property>
</Properties>
</file>