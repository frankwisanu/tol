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316" documentId="11_4A6A201B9B724F95E3F07711EBC74769BE9F57BD" xr6:coauthVersionLast="47" xr6:coauthVersionMax="47" xr10:uidLastSave="{646C2A55-63BA-448A-9BE8-2CEF8A5EB5BA}"/>
  <bookViews>
    <workbookView xWindow="0" yWindow="0" windowWidth="0" windowHeight="0" firstSheet="1" activeTab="1" xr2:uid="{00000000-000D-0000-FFFF-FFFF00000000}"/>
  </bookViews>
  <sheets>
    <sheet name="Scope Backlog 1.1" sheetId="2" r:id="rId1"/>
    <sheet name="Transaction Histor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YWiQrax0/Ak4m+E9ijw1jBsAbONNojZybB5jysBxk8="/>
    </ext>
  </extLst>
</workbook>
</file>

<file path=xl/calcChain.xml><?xml version="1.0" encoding="utf-8"?>
<calcChain xmlns="http://schemas.openxmlformats.org/spreadsheetml/2006/main">
  <c r="AB21" i="1" l="1"/>
  <c r="AB20" i="1"/>
  <c r="AB19" i="1"/>
  <c r="AB18" i="1"/>
  <c r="AB17" i="1"/>
  <c r="AA21" i="1"/>
  <c r="AA20" i="1"/>
  <c r="AA19" i="1"/>
  <c r="AA18" i="1"/>
  <c r="AA17" i="1"/>
  <c r="AA24" i="1" l="1"/>
  <c r="AB24" i="1"/>
</calcChain>
</file>

<file path=xl/sharedStrings.xml><?xml version="1.0" encoding="utf-8"?>
<sst xmlns="http://schemas.openxmlformats.org/spreadsheetml/2006/main" count="223" uniqueCount="104">
  <si>
    <t>Funtion</t>
  </si>
  <si>
    <t>Refer epic Link</t>
  </si>
  <si>
    <t>Refer Backlog No.</t>
  </si>
  <si>
    <t>Test results</t>
  </si>
  <si>
    <t>Test Case No.</t>
  </si>
  <si>
    <t>Test Scenario</t>
  </si>
  <si>
    <t>Test Case Type</t>
  </si>
  <si>
    <t>Flow</t>
  </si>
  <si>
    <t>Campaign
(D=Dummy)</t>
  </si>
  <si>
    <t>Select service type</t>
  </si>
  <si>
    <t>Media
อาจจะมีปรับหลังได้ข้อมูล จาก Gis</t>
  </si>
  <si>
    <t>Description
 (Design Step)</t>
  </si>
  <si>
    <t>Expected Result</t>
  </si>
  <si>
    <t>Test Case written by</t>
  </si>
  <si>
    <t>Excute by</t>
  </si>
  <si>
    <t>Status iOS</t>
  </si>
  <si>
    <t xml:space="preserve">Status android </t>
  </si>
  <si>
    <t>Actual Result
 (Design Step)</t>
  </si>
  <si>
    <t>iOS</t>
  </si>
  <si>
    <t>Android</t>
  </si>
  <si>
    <t>Online Channel</t>
  </si>
  <si>
    <t>Offline Channel
(Regression)</t>
  </si>
  <si>
    <t>TOL</t>
  </si>
  <si>
    <t>Mobile</t>
  </si>
  <si>
    <t>TrueID TV</t>
  </si>
  <si>
    <t>FLP</t>
  </si>
  <si>
    <t>Link</t>
  </si>
  <si>
    <t>Build Version</t>
  </si>
  <si>
    <t>New</t>
  </si>
  <si>
    <t>Exsiting</t>
  </si>
  <si>
    <t>FTTH</t>
  </si>
  <si>
    <t>FTTC</t>
  </si>
  <si>
    <t>FTTB</t>
  </si>
  <si>
    <t>FTTC-Docsis</t>
  </si>
  <si>
    <t>Transaction History</t>
  </si>
  <si>
    <t xml:space="preserve">Online channel THL-1089
</t>
  </si>
  <si>
    <t>3.Register TOL/CVG via online channel</t>
  </si>
  <si>
    <t>iOS TOL 73.7 (872)</t>
  </si>
  <si>
    <t>Android 73.8.060417 (TOL-CICD)(318)</t>
  </si>
  <si>
    <t>Tran_His_01</t>
  </si>
  <si>
    <t>Verify Transaction History in this case:
 - TOL STD</t>
  </si>
  <si>
    <t>Positive</t>
  </si>
  <si>
    <t>X</t>
  </si>
  <si>
    <t>TOL STD</t>
  </si>
  <si>
    <r>
      <rPr>
        <sz val="10"/>
        <color rgb="FF000000"/>
        <rFont val="Arial"/>
      </rPr>
      <t xml:space="preserve">Refer. Data Case : </t>
    </r>
    <r>
      <rPr>
        <b/>
        <sz val="10"/>
        <color rgb="FF0070C0"/>
        <rFont val="Arial"/>
      </rPr>
      <t xml:space="preserve">ONL_E2E_01
</t>
    </r>
    <r>
      <rPr>
        <sz val="10"/>
        <color rgb="FF000000"/>
        <rFont val="Arial"/>
      </rPr>
      <t>Main Menu: รายงาน
Tab: รายการย้อนหลัง
- เลือกวันที่ทำรายการ
- เลข TOL No. ได้จากการเอาเลข Order ID ไปเช็คที่ Smart UI Order Monitoring</t>
    </r>
  </si>
  <si>
    <t>หลังจากเลือกวันที่ จะแสดงข้อมูล Transaction History 
  - วัน เดือน ปี(พ.ศ.) . ผู้ทำรายการ 0XX-XXX-XXXX
  - แสดงเบอร์ TOL ที่ทำรายการ &gt;&gt; NFXX...
     -- ลงทะเบียนทรูออนไลน์/คอนเวอร์เจนซ์
     -- แสดง Package code &amp; name ที่เลือกถูกต้อง
         Ex. FTOT66-1000        FTTH Gigatex Flexi 1G/500M. 4POTT+TMH15GB insurance
         ปล. กรณีชื่อยาวล้นจอจะแสดง Price plan &gt;&gt; FTOT66-1000        FTTH Gigatex Flexi 1G/500M....
ตรวจสอบ X-Request==transaction id
Expect &gt;&gt; transaction id (DB)
   &gt;&gt; พิมพ์ใหญ่
   &gt;&gt; ไม่มีขีดกลาง</t>
  </si>
  <si>
    <t>Janjira Jankong</t>
  </si>
  <si>
    <t>Wannapa Thongkham</t>
  </si>
  <si>
    <t>Passed</t>
  </si>
  <si>
    <t>iOS order id : 2606091057A1TOST4F13
Android order id : 2606091632A1TOST531A</t>
  </si>
  <si>
    <t>Tran_His_02</t>
  </si>
  <si>
    <t>Verify Transaction History in this case:
 - TOL+FLP1</t>
  </si>
  <si>
    <t>TOL+FLP1</t>
  </si>
  <si>
    <r>
      <rPr>
        <sz val="10"/>
        <color rgb="FF000000"/>
        <rFont val="Arial"/>
      </rPr>
      <t xml:space="preserve">Refer. Data Case : </t>
    </r>
    <r>
      <rPr>
        <b/>
        <sz val="10"/>
        <color rgb="FF0070C0"/>
        <rFont val="Arial"/>
      </rPr>
      <t xml:space="preserve">ONL_E2E_02
</t>
    </r>
    <r>
      <rPr>
        <sz val="10"/>
        <color rgb="FF000000"/>
        <rFont val="Arial"/>
      </rPr>
      <t>Main Menu: รายงาน
Tab: รายการย้อนหลัง
- เลือกวันที่ทำรายการ
- เลข TOL No. ได้จากการเอาเลข Order ID ไปเช็คที่ Smart UI Order Monitoring</t>
    </r>
  </si>
  <si>
    <t>หลังจากเลือกวันที่ จะแสดงข้อมูล Transaction History 
  - วัน เดือน ปี(พ.ศ.) . ผู้ทำรายการ 0XX-XXX-XXXX
  - แสดงเบอร์ TOL ที่ทำรายการ  &gt;&gt; 88XX...
     -- ลงทะเบียนทรูออนไลน์/คอนเวอร์เจนซ์
     -- แสดง Package code &amp; name ที่เลือกถูกต้อง
         Ex. FTOT66-1000        FTTH Gigatex Flexi 1G/500M. 4POTT+TMH15GB insurance
         ปล. กรณีชื่อยาวล้นจอจะแสดง Price plan &gt;&gt; FTOT66-1000        FTTH Gigatex Flexi 1G/500M....
ตรวจสอบ X-Request==transaction id
Expect &gt;&gt; transaction id (DB)
   &gt;&gt; พิมพ์ใหญ่
   &gt;&gt; ไม่มีขีดกลาง</t>
  </si>
  <si>
    <t>Skip</t>
  </si>
  <si>
    <t>Skip Test เนื่องจาก เคสที่มีการเทส STD ติดเงือนไขของ Address ที่ไม่สามารถเลือก FLP</t>
  </si>
  <si>
    <t>iOS TOL 73.8 (876)</t>
  </si>
  <si>
    <t>Version built : 73.8.060401 (TOL1.1)(319)</t>
  </si>
  <si>
    <t>Tran_His_03</t>
  </si>
  <si>
    <t>Verify Transaction History in this case:
 - TOL+FLP2</t>
  </si>
  <si>
    <t>TOL+FLP2</t>
  </si>
  <si>
    <r>
      <rPr>
        <sz val="10"/>
        <color rgb="FF000000"/>
        <rFont val="Arial"/>
      </rPr>
      <t xml:space="preserve">Refer. Data Case : </t>
    </r>
    <r>
      <rPr>
        <b/>
        <sz val="10"/>
        <color rgb="FF0070C0"/>
        <rFont val="Arial"/>
      </rPr>
      <t xml:space="preserve">VB_E2E_03
</t>
    </r>
    <r>
      <rPr>
        <sz val="10"/>
        <color rgb="FF000000"/>
        <rFont val="Arial"/>
      </rPr>
      <t>Main Menu: รายงาน
Tab: รายการย้อนหลัง
- เลือกวันที่ทำรายการ
- เลข TOL No. ได้จากการเอาเลข Order ID ไปเช็คที่ Smart UI Order Monitoring</t>
    </r>
  </si>
  <si>
    <t>หลังจากเลือกวันที่ จะแสดงข้อมูล Transaction History 
  - วัน เดือน ปี(พ.ศ.) . ผู้ทำรายการ 0XX-XXX-XXXX
  - แสดงเบอร์ TOL ที่ทำรายการ &gt;&gt; 96XX...
     -- ลงทะเบียนทรูออนไลน์/คอนเวอร์เจนซ์
     -- แสดง Package code &amp; name ที่เลือกถูกต้อง
         Ex. FTOT66-1000        FTTH Gigatex Flexi 1G/500M. 4POTT+TMH15GB insurance
         ปล. กรณีชื่อยาวล้นจอจะแสดง Price plan &gt;&gt; FTOT66-1000        FTTH Gigatex Flexi 1G/500M....
ตรวจสอบ X-Request==transaction id
Expect &gt;&gt; transaction id (DB)
   &gt;&gt; พิมพ์ใหญ่
   &gt;&gt; ไม่มีขีดกลาง</t>
  </si>
  <si>
    <t>iOS order id : 2606181040A1TOST5E43
Android order id : 2606181259A1TOSTC602</t>
  </si>
  <si>
    <t>iOS TOL 73.8 (874)</t>
  </si>
  <si>
    <t>Tran_His_04</t>
  </si>
  <si>
    <t>Verify Transaction History in this case:
 - 2POTT FLP real</t>
  </si>
  <si>
    <t>2POTT</t>
  </si>
  <si>
    <r>
      <rPr>
        <sz val="10"/>
        <color rgb="FF000000"/>
        <rFont val="Arial"/>
      </rPr>
      <t xml:space="preserve">Refer. Data Case : </t>
    </r>
    <r>
      <rPr>
        <b/>
        <sz val="10"/>
        <color rgb="FF0070C0"/>
        <rFont val="Arial"/>
      </rPr>
      <t xml:space="preserve">VB_E2E_04
</t>
    </r>
    <r>
      <rPr>
        <sz val="10"/>
        <color rgb="FF000000"/>
        <rFont val="Arial"/>
      </rPr>
      <t>Main Menu: รายงาน
Tab: รายการย้อนหลัง
- เลือกวันที่ทำรายการ
- เลข TOL No. ได้จากการเอาเลข Order ID ไปเช็คที่ Smart UI Order Monitoring</t>
    </r>
  </si>
  <si>
    <t>หลังจากเลือกวันที่ จะแสดงข้อมูล Transaction History 
  - วัน เดือน ปี(พ.ศ.) . ผู้ทำรายการ 0XX-XXX-XXXX
  - แสดงเบอร์ TOL ที่ทำรายการ &gt;&gt; 88XX...
     -- ลงทะเบียนทรูออนไลน์/คอนเวอร์เจนซ์
     -- แสดง Package code &amp; name ที่เลือกถูกต้อง
         Ex. FTOT66-1000        FTTH Gigatex Flexi 1G/500M. 4POTT+TMH15GB insurance
         ปล. กรณีชื่อยาวล้นจอจะแสดง Price plan &gt;&gt; FTOT66-1000        FTTH Gigatex Flexi 1G/500M....
ตรวจสอบ X-Request==transaction id
Expect &gt;&gt; transaction id (DB)
   &gt;&gt; พิมพ์ใหญ่
   &gt;&gt; ไม่มีขีดกลาง</t>
  </si>
  <si>
    <t>iOS order id : 2606121620A1TO2PAD6F
Android order id : 2606151052A1TO2PBA6E</t>
  </si>
  <si>
    <t>iOS TOL 73.7 (873)</t>
  </si>
  <si>
    <t>Android 73.8.060417 (TOL-1.1) (318)</t>
  </si>
  <si>
    <t>Tran_His_05</t>
  </si>
  <si>
    <t>Verify Transaction History in this case:
 - 3POTT</t>
  </si>
  <si>
    <t>3POTT</t>
  </si>
  <si>
    <r>
      <rPr>
        <sz val="10"/>
        <color rgb="FF000000"/>
        <rFont val="Arial"/>
      </rPr>
      <t xml:space="preserve">Refer. Data Case : </t>
    </r>
    <r>
      <rPr>
        <b/>
        <sz val="10"/>
        <color rgb="FF0070C0"/>
        <rFont val="Arial"/>
      </rPr>
      <t xml:space="preserve">VB_E2E_08
</t>
    </r>
    <r>
      <rPr>
        <sz val="10"/>
        <color rgb="FF000000"/>
        <rFont val="Arial"/>
      </rPr>
      <t>Main Menu: รายงาน
Tab: รายการย้อนหลัง
- เลือกวันที่ทำรายการ
- เลข TOL No. ได้จากการเอาเลข Order ID ไปเช็คที่ Smart UI Order Monitoring</t>
    </r>
  </si>
  <si>
    <t>หลังจากเลือกวันที่ จะแสดงข้อมูล Transaction History 
  - วัน เดือน ปี(พ.ศ.) . ผู้ทำรายการ 0XX-XXX-XXXX
  - แสดงเบอร์ TOL ที่ทำรายการ  &gt;&gt; 91XX...
     -- ลงทะเบียนทรูออนไลน์/คอนเวอร์เจนซ์
     -- แสดง Package code &amp; name ที่เลือกถูกต้อง
         Ex. FTOT66-1000        FTTH Gigatex Flexi 1G/500M. 4POTT+TMH15GB insurance
         ปล. กรณีชื่อยาวล้นจอจะแสดง Price plan &gt;&gt; FTOT66-1000        FTTH Gigatex Flexi 1G/500M....
ตรวจสอบ X-Request==transaction id
Expect &gt;&gt; transaction id (DB)
   &gt;&gt; พิมพ์ใหญ่
   &gt;&gt; ไม่มีขีดกลาง</t>
  </si>
  <si>
    <t>iOS order id : 2606101456A1TO3P040F
Android order id : 2606101205A1TO3PC9B3</t>
  </si>
  <si>
    <t>Android 73.8.060401 (TOL1.1)(319)</t>
  </si>
  <si>
    <t>Tran_His_06</t>
  </si>
  <si>
    <t>Verify Transaction History in this case:
 - 4POTT FLP Dummy</t>
  </si>
  <si>
    <t>4POTT(D)</t>
  </si>
  <si>
    <r>
      <rPr>
        <sz val="10"/>
        <color rgb="FF000000"/>
        <rFont val="Arial"/>
      </rPr>
      <t xml:space="preserve">Refer. Data Case : </t>
    </r>
    <r>
      <rPr>
        <b/>
        <sz val="10"/>
        <color rgb="FF0070C0"/>
        <rFont val="Arial"/>
      </rPr>
      <t xml:space="preserve">VB_E2E_02
</t>
    </r>
    <r>
      <rPr>
        <sz val="10"/>
        <color rgb="FF000000"/>
        <rFont val="Arial"/>
      </rPr>
      <t>Main Menu: รายงาน
Tab: รายการย้อนหลัง
- เลือกวันที่ทำรายการ
- เลข TOL No. ได้จากการเอาเลข Order ID ไปเช็คที่ Smart UI Order Monitoring</t>
    </r>
  </si>
  <si>
    <t>iOS order id : 2606161602A1TO4PCB86
Android order id : 2606161752A1TO4P8062</t>
  </si>
  <si>
    <t>Version Built : iOS TOL 73.7 (873)</t>
  </si>
  <si>
    <t>Version Built : 73.8.060417 (TOL-1.1) (318)</t>
  </si>
  <si>
    <t>Tran_His_07</t>
  </si>
  <si>
    <t>Verify Transaction History in this case:
 - TOL+FLP</t>
  </si>
  <si>
    <t>TOL+FLP</t>
  </si>
  <si>
    <r>
      <rPr>
        <sz val="10"/>
        <color rgb="FF000000"/>
        <rFont val="Arial"/>
      </rPr>
      <t xml:space="preserve">Refer. Data Case : </t>
    </r>
    <r>
      <rPr>
        <b/>
        <sz val="10"/>
        <color rgb="FF0070C0"/>
        <rFont val="Arial"/>
      </rPr>
      <t xml:space="preserve">VB_E2E_01
</t>
    </r>
    <r>
      <rPr>
        <sz val="10"/>
        <color rgb="FF000000"/>
        <rFont val="Arial"/>
      </rPr>
      <t>Main Menu: รายงาน
Tab: รายการย้อนหลัง
- เลือกวันที่ทำรายการ
- เลข TOL No. ได้จากการเอาเลข Order ID ไปเช็คที่ Smart UI Order Monitoring</t>
    </r>
  </si>
  <si>
    <t>iOS order id : 2606091708A1TOST4041
Android order id : 2606101147A1TOST1621</t>
  </si>
  <si>
    <t>Tran_His_08</t>
  </si>
  <si>
    <t>Verify Transaction History in this case:
 - 4POTT</t>
  </si>
  <si>
    <t>4POTT</t>
  </si>
  <si>
    <r>
      <rPr>
        <sz val="10"/>
        <color rgb="FF000000"/>
        <rFont val="Arial"/>
      </rPr>
      <t xml:space="preserve">Refer. Data Case : </t>
    </r>
    <r>
      <rPr>
        <b/>
        <sz val="10"/>
        <color rgb="FF0070C0"/>
        <rFont val="Arial"/>
      </rPr>
      <t xml:space="preserve">VB_E2E_14
</t>
    </r>
    <r>
      <rPr>
        <sz val="10"/>
        <color rgb="FF000000"/>
        <rFont val="Arial"/>
      </rPr>
      <t>Main Menu: รายงาน
Tab: รายการย้อนหลัง
- เลือกวันที่ทำรายการ
- เลข TOL No. ได้จากการเอาเลข Order ID ไปเช็คที่ Smart UI Order Monitoring</t>
    </r>
  </si>
  <si>
    <t>iOS order id : 2606101854A1TO3P1E95
Android order id : 2606101512A1TO3PBB66</t>
  </si>
  <si>
    <t>Summary</t>
  </si>
  <si>
    <t>Not Start</t>
  </si>
  <si>
    <t>Inprogress</t>
  </si>
  <si>
    <t>Fail</t>
  </si>
  <si>
    <t>Pass</t>
  </si>
  <si>
    <t>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</si>
</sst>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b/>
      <sz val="11"/>
      <color theme="1"/>
      <name val="Arial"/>
    </font>
    <font>
      <b/>
      <sz val="10"/>
      <color rgb="FF000000"/>
      <name val="Tahoma"/>
    </font>
    <font>
      <sz val="10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rgb="FF000000"/>
      <name val="Tahoma"/>
    </font>
    <font>
      <sz val="10"/>
      <color rgb="FF000000"/>
      <name val="Tahoma"/>
    </font>
    <font>
      <sz val="10"/>
      <color rgb="FF000000"/>
      <name val="Arial"/>
    </font>
    <font>
      <strike/>
      <sz val="10"/>
      <color theme="1"/>
      <name val="Arial"/>
    </font>
    <font>
      <b/>
      <sz val="10"/>
      <color theme="1"/>
      <name val="Tahoma"/>
    </font>
    <font>
      <b/>
      <sz val="10"/>
      <color rgb="FF0070C0"/>
      <name val="Arial"/>
    </font>
    <font>
      <u/>
      <sz val="10"/>
      <color theme="10"/>
      <name val="Arial"/>
      <scheme val="minor"/>
    </font>
    <font>
      <b/>
      <sz val="10"/>
      <color rgb="FF000000"/>
      <name val="Arial"/>
      <scheme val="minor"/>
    </font>
    <font>
      <sz val="10"/>
      <color theme="1"/>
      <name val="Tahoma"/>
    </font>
    <font>
      <sz val="11"/>
      <color theme="1"/>
      <name val="Tahoma"/>
    </font>
    <font>
      <b/>
      <u/>
      <sz val="10"/>
      <color theme="10"/>
      <name val="Tahoma"/>
    </font>
  </fonts>
  <fills count="15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339966"/>
        <bgColor rgb="FF33996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14">
    <xf numFmtId="0" fontId="0" fillId="0" borderId="0" xfId="0"/>
    <xf numFmtId="0" fontId="5" fillId="0" borderId="23" xfId="0" applyFont="1" applyBorder="1" applyAlignment="1">
      <alignment vertical="top" wrapText="1"/>
    </xf>
    <xf numFmtId="0" fontId="5" fillId="0" borderId="23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24" xfId="0" applyFont="1" applyBorder="1" applyAlignment="1">
      <alignment horizontal="center" vertical="top" wrapText="1"/>
    </xf>
    <xf numFmtId="0" fontId="5" fillId="5" borderId="23" xfId="0" applyFont="1" applyFill="1" applyBorder="1" applyAlignment="1">
      <alignment horizontal="center" vertical="top" wrapText="1"/>
    </xf>
    <xf numFmtId="0" fontId="5" fillId="0" borderId="25" xfId="0" applyFont="1" applyBorder="1" applyAlignment="1">
      <alignment horizontal="center" vertical="top" wrapText="1"/>
    </xf>
    <xf numFmtId="0" fontId="5" fillId="6" borderId="26" xfId="0" applyFont="1" applyFill="1" applyBorder="1" applyAlignment="1">
      <alignment vertical="top" wrapText="1"/>
    </xf>
    <xf numFmtId="0" fontId="6" fillId="0" borderId="23" xfId="0" applyFont="1" applyBorder="1" applyAlignment="1">
      <alignment vertical="top"/>
    </xf>
    <xf numFmtId="0" fontId="5" fillId="0" borderId="0" xfId="0" applyFont="1" applyAlignment="1">
      <alignment vertical="top" wrapText="1"/>
    </xf>
    <xf numFmtId="0" fontId="5" fillId="0" borderId="27" xfId="0" applyFont="1" applyBorder="1" applyAlignment="1">
      <alignment horizontal="center" vertical="top" wrapText="1"/>
    </xf>
    <xf numFmtId="0" fontId="5" fillId="5" borderId="28" xfId="0" applyFont="1" applyFill="1" applyBorder="1" applyAlignment="1">
      <alignment horizontal="center" vertical="top" wrapText="1"/>
    </xf>
    <xf numFmtId="0" fontId="5" fillId="0" borderId="28" xfId="0" applyFont="1" applyBorder="1" applyAlignment="1">
      <alignment horizontal="center" vertical="top" wrapText="1"/>
    </xf>
    <xf numFmtId="0" fontId="7" fillId="7" borderId="30" xfId="0" applyFont="1" applyFill="1" applyBorder="1"/>
    <xf numFmtId="0" fontId="2" fillId="7" borderId="30" xfId="0" applyFont="1" applyFill="1" applyBorder="1" applyAlignment="1">
      <alignment horizontal="center"/>
    </xf>
    <xf numFmtId="0" fontId="8" fillId="0" borderId="0" xfId="0" applyFont="1"/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31" xfId="0" applyFont="1" applyBorder="1" applyAlignment="1">
      <alignment horizontal="right"/>
    </xf>
    <xf numFmtId="0" fontId="8" fillId="8" borderId="32" xfId="0" applyFont="1" applyFill="1" applyBorder="1" applyAlignment="1">
      <alignment horizontal="center"/>
    </xf>
    <xf numFmtId="0" fontId="8" fillId="0" borderId="32" xfId="0" applyFont="1" applyBorder="1" applyAlignment="1">
      <alignment horizontal="center"/>
    </xf>
    <xf numFmtId="10" fontId="8" fillId="0" borderId="32" xfId="0" applyNumberFormat="1" applyFont="1" applyBorder="1" applyAlignment="1">
      <alignment horizontal="center"/>
    </xf>
    <xf numFmtId="0" fontId="6" fillId="0" borderId="23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top" wrapText="1"/>
    </xf>
    <xf numFmtId="0" fontId="10" fillId="10" borderId="23" xfId="0" applyFont="1" applyFill="1" applyBorder="1" applyAlignment="1">
      <alignment horizontal="center" vertical="top" wrapText="1"/>
    </xf>
    <xf numFmtId="0" fontId="5" fillId="10" borderId="25" xfId="0" applyFont="1" applyFill="1" applyBorder="1" applyAlignment="1">
      <alignment horizontal="center" vertical="top" wrapText="1"/>
    </xf>
    <xf numFmtId="0" fontId="5" fillId="10" borderId="28" xfId="0" applyFont="1" applyFill="1" applyBorder="1" applyAlignment="1">
      <alignment horizontal="center" vertical="top" wrapText="1"/>
    </xf>
    <xf numFmtId="0" fontId="10" fillId="10" borderId="29" xfId="0" applyFont="1" applyFill="1" applyBorder="1" applyAlignment="1">
      <alignment horizontal="center" vertical="top" wrapText="1"/>
    </xf>
    <xf numFmtId="0" fontId="5" fillId="0" borderId="33" xfId="0" applyFont="1" applyBorder="1" applyAlignment="1">
      <alignment horizontal="center" vertical="top" wrapText="1"/>
    </xf>
    <xf numFmtId="0" fontId="5" fillId="0" borderId="15" xfId="0" applyFont="1" applyBorder="1" applyAlignment="1">
      <alignment vertical="top" wrapText="1"/>
    </xf>
    <xf numFmtId="0" fontId="0" fillId="0" borderId="30" xfId="0" applyBorder="1"/>
    <xf numFmtId="0" fontId="0" fillId="0" borderId="23" xfId="0" applyBorder="1"/>
    <xf numFmtId="0" fontId="0" fillId="0" borderId="23" xfId="0" applyBorder="1" applyAlignment="1">
      <alignment horizontal="center" vertical="top"/>
    </xf>
    <xf numFmtId="0" fontId="1" fillId="4" borderId="1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top" wrapText="1"/>
    </xf>
    <xf numFmtId="0" fontId="5" fillId="10" borderId="26" xfId="0" applyFont="1" applyFill="1" applyBorder="1" applyAlignment="1">
      <alignment horizontal="center" vertical="top" wrapText="1"/>
    </xf>
    <xf numFmtId="0" fontId="5" fillId="0" borderId="37" xfId="0" applyFont="1" applyBorder="1" applyAlignment="1">
      <alignment horizontal="center" vertical="top" wrapText="1"/>
    </xf>
    <xf numFmtId="0" fontId="5" fillId="5" borderId="38" xfId="0" applyFont="1" applyFill="1" applyBorder="1" applyAlignment="1">
      <alignment horizontal="center" vertical="top" wrapText="1"/>
    </xf>
    <xf numFmtId="0" fontId="5" fillId="0" borderId="39" xfId="0" applyFont="1" applyBorder="1" applyAlignment="1">
      <alignment horizontal="center" vertical="top" wrapText="1"/>
    </xf>
    <xf numFmtId="0" fontId="5" fillId="5" borderId="25" xfId="0" applyFont="1" applyFill="1" applyBorder="1" applyAlignment="1">
      <alignment horizontal="center" vertical="top" wrapText="1"/>
    </xf>
    <xf numFmtId="0" fontId="5" fillId="10" borderId="38" xfId="0" applyFont="1" applyFill="1" applyBorder="1" applyAlignment="1">
      <alignment horizontal="center" vertical="top" wrapText="1"/>
    </xf>
    <xf numFmtId="0" fontId="10" fillId="10" borderId="38" xfId="0" applyFont="1" applyFill="1" applyBorder="1" applyAlignment="1">
      <alignment horizontal="center" vertical="top" wrapText="1"/>
    </xf>
    <xf numFmtId="0" fontId="5" fillId="10" borderId="39" xfId="0" applyFont="1" applyFill="1" applyBorder="1" applyAlignment="1">
      <alignment horizontal="center" vertical="top" wrapText="1"/>
    </xf>
    <xf numFmtId="0" fontId="10" fillId="10" borderId="25" xfId="0" applyFont="1" applyFill="1" applyBorder="1" applyAlignment="1">
      <alignment horizontal="center" vertical="top" wrapText="1"/>
    </xf>
    <xf numFmtId="0" fontId="5" fillId="0" borderId="29" xfId="0" applyFont="1" applyBorder="1" applyAlignment="1">
      <alignment horizontal="center" vertical="top" wrapText="1"/>
    </xf>
    <xf numFmtId="0" fontId="5" fillId="10" borderId="40" xfId="0" applyFont="1" applyFill="1" applyBorder="1" applyAlignment="1">
      <alignment horizontal="center" vertical="top" wrapText="1"/>
    </xf>
    <xf numFmtId="0" fontId="5" fillId="10" borderId="41" xfId="0" applyFont="1" applyFill="1" applyBorder="1" applyAlignment="1">
      <alignment horizontal="center" vertical="top" wrapText="1"/>
    </xf>
    <xf numFmtId="0" fontId="5" fillId="0" borderId="21" xfId="0" applyFont="1" applyBorder="1" applyAlignment="1">
      <alignment vertical="top" wrapText="1"/>
    </xf>
    <xf numFmtId="0" fontId="14" fillId="10" borderId="23" xfId="0" applyFont="1" applyFill="1" applyBorder="1" applyAlignment="1">
      <alignment horizontal="center" vertical="center"/>
    </xf>
    <xf numFmtId="0" fontId="13" fillId="0" borderId="23" xfId="1" applyBorder="1" applyAlignment="1">
      <alignment horizontal="center" vertical="top"/>
    </xf>
    <xf numFmtId="0" fontId="5" fillId="0" borderId="33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14" fillId="10" borderId="1" xfId="0" applyFont="1" applyFill="1" applyBorder="1" applyAlignment="1">
      <alignment horizontal="center" vertical="center"/>
    </xf>
    <xf numFmtId="0" fontId="15" fillId="0" borderId="23" xfId="0" applyFont="1" applyBorder="1" applyAlignment="1">
      <alignment vertical="top" wrapText="1"/>
    </xf>
    <xf numFmtId="0" fontId="6" fillId="13" borderId="23" xfId="0" applyFont="1" applyFill="1" applyBorder="1" applyAlignment="1">
      <alignment horizontal="center" vertical="top" wrapText="1"/>
    </xf>
    <xf numFmtId="0" fontId="5" fillId="0" borderId="26" xfId="0" applyFont="1" applyBorder="1" applyAlignment="1">
      <alignment horizontal="center" vertical="top" wrapText="1"/>
    </xf>
    <xf numFmtId="0" fontId="16" fillId="13" borderId="23" xfId="0" applyFont="1" applyFill="1" applyBorder="1" applyAlignment="1">
      <alignment horizontal="center" vertical="top" wrapText="1"/>
    </xf>
    <xf numFmtId="0" fontId="15" fillId="0" borderId="15" xfId="0" applyFont="1" applyBorder="1" applyAlignment="1">
      <alignment vertical="top" wrapText="1"/>
    </xf>
    <xf numFmtId="0" fontId="6" fillId="0" borderId="15" xfId="0" applyFont="1" applyBorder="1" applyAlignment="1">
      <alignment vertical="top" wrapText="1"/>
    </xf>
    <xf numFmtId="0" fontId="13" fillId="0" borderId="30" xfId="1" applyBorder="1" applyAlignment="1">
      <alignment horizontal="center" vertical="top"/>
    </xf>
    <xf numFmtId="0" fontId="1" fillId="4" borderId="7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2" borderId="10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2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1" fillId="11" borderId="26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 vertical="center" wrapText="1"/>
    </xf>
    <xf numFmtId="0" fontId="11" fillId="11" borderId="10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" fillId="12" borderId="12" xfId="0" applyFont="1" applyFill="1" applyBorder="1" applyAlignment="1">
      <alignment horizontal="center" vertical="center" wrapText="1"/>
    </xf>
    <xf numFmtId="0" fontId="1" fillId="12" borderId="21" xfId="0" applyFont="1" applyFill="1" applyBorder="1" applyAlignment="1">
      <alignment horizontal="center" vertical="center" wrapText="1"/>
    </xf>
    <xf numFmtId="0" fontId="14" fillId="10" borderId="23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6" fillId="14" borderId="23" xfId="0" applyFont="1" applyFill="1" applyBorder="1" applyAlignment="1">
      <alignment horizontal="center" vertical="top" wrapText="1"/>
    </xf>
    <xf numFmtId="0" fontId="5" fillId="14" borderId="21" xfId="0" applyFont="1" applyFill="1" applyBorder="1" applyAlignment="1">
      <alignment vertical="top" wrapText="1"/>
    </xf>
    <xf numFmtId="0" fontId="5" fillId="14" borderId="15" xfId="0" applyFont="1" applyFill="1" applyBorder="1" applyAlignment="1">
      <alignment vertical="top" wrapText="1"/>
    </xf>
    <xf numFmtId="0" fontId="17" fillId="0" borderId="23" xfId="1" applyFont="1" applyBorder="1" applyAlignment="1">
      <alignment horizontal="center" vertical="top"/>
    </xf>
    <xf numFmtId="0" fontId="11" fillId="0" borderId="23" xfId="0" applyFont="1" applyBorder="1" applyAlignment="1">
      <alignment vertical="top" wrapText="1"/>
    </xf>
    <xf numFmtId="0" fontId="11" fillId="9" borderId="23" xfId="0" applyFont="1" applyFill="1" applyBorder="1" applyAlignment="1">
      <alignment vertical="top" wrapText="1"/>
    </xf>
    <xf numFmtId="0" fontId="17" fillId="0" borderId="20" xfId="1" applyFont="1" applyBorder="1" applyAlignment="1">
      <alignment horizontal="center" vertical="top"/>
    </xf>
    <xf numFmtId="0" fontId="17" fillId="0" borderId="1" xfId="1" applyFont="1" applyBorder="1" applyAlignment="1">
      <alignment horizontal="center" vertical="top"/>
    </xf>
    <xf numFmtId="0" fontId="11" fillId="0" borderId="18" xfId="0" applyFont="1" applyBorder="1" applyAlignment="1">
      <alignment vertical="top" wrapText="1"/>
    </xf>
    <xf numFmtId="0" fontId="11" fillId="0" borderId="32" xfId="0" applyFont="1" applyBorder="1" applyAlignment="1">
      <alignment vertical="top" wrapText="1"/>
    </xf>
    <xf numFmtId="0" fontId="11" fillId="0" borderId="23" xfId="0" applyFont="1" applyBorder="1" applyAlignment="1">
      <alignment horizontal="center" vertical="top" wrapText="1"/>
    </xf>
    <xf numFmtId="0" fontId="3" fillId="0" borderId="5" xfId="0" applyFont="1" applyBorder="1" applyAlignment="1"/>
    <xf numFmtId="0" fontId="3" fillId="0" borderId="6" xfId="0" applyFont="1" applyBorder="1" applyAlignment="1"/>
    <xf numFmtId="0" fontId="3" fillId="0" borderId="8" xfId="0" applyFont="1" applyBorder="1" applyAlignment="1"/>
    <xf numFmtId="0" fontId="3" fillId="0" borderId="9" xfId="0" applyFont="1" applyBorder="1" applyAlignment="1"/>
    <xf numFmtId="0" fontId="3" fillId="12" borderId="11" xfId="0" applyFont="1" applyFill="1" applyBorder="1" applyAlignment="1"/>
    <xf numFmtId="0" fontId="3" fillId="12" borderId="31" xfId="0" applyFont="1" applyFill="1" applyBorder="1" applyAlignment="1"/>
    <xf numFmtId="0" fontId="3" fillId="12" borderId="12" xfId="0" applyFont="1" applyFill="1" applyBorder="1" applyAlignment="1"/>
    <xf numFmtId="0" fontId="3" fillId="12" borderId="23" xfId="0" applyFont="1" applyFill="1" applyBorder="1" applyAlignment="1"/>
    <xf numFmtId="0" fontId="3" fillId="0" borderId="13" xfId="0" applyFont="1" applyBorder="1" applyAlignment="1"/>
    <xf numFmtId="0" fontId="3" fillId="0" borderId="26" xfId="0" applyFont="1" applyBorder="1" applyAlignment="1"/>
    <xf numFmtId="0" fontId="3" fillId="0" borderId="17" xfId="0" applyFont="1" applyBorder="1" applyAlignment="1"/>
    <xf numFmtId="0" fontId="3" fillId="0" borderId="18" xfId="0" applyFont="1" applyBorder="1" applyAlignment="1"/>
    <xf numFmtId="0" fontId="3" fillId="0" borderId="19" xfId="0" applyFont="1" applyBorder="1" applyAlignment="1"/>
    <xf numFmtId="0" fontId="3" fillId="12" borderId="30" xfId="0" applyFont="1" applyFill="1" applyBorder="1" applyAlignment="1"/>
    <xf numFmtId="0" fontId="3" fillId="12" borderId="20" xfId="0" applyFont="1" applyFill="1" applyBorder="1" applyAlignment="1"/>
    <xf numFmtId="0" fontId="3" fillId="12" borderId="32" xfId="0" applyFont="1" applyFill="1" applyBorder="1" applyAlignment="1"/>
    <xf numFmtId="0" fontId="3" fillId="12" borderId="21" xfId="0" applyFont="1" applyFill="1" applyBorder="1" applyAlignment="1"/>
    <xf numFmtId="0" fontId="3" fillId="0" borderId="22" xfId="0" applyFont="1" applyBorder="1" applyAlignment="1"/>
    <xf numFmtId="0" fontId="3" fillId="0" borderId="34" xfId="0" applyFont="1" applyBorder="1" applyAlignment="1"/>
    <xf numFmtId="0" fontId="3" fillId="0" borderId="11" xfId="0" applyFont="1" applyBorder="1" applyAlignment="1"/>
    <xf numFmtId="0" fontId="3" fillId="0" borderId="35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590550</xdr:colOff>
      <xdr:row>23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92C48C-1274-47C3-B2D5-976441074404}"/>
            </a:ext>
            <a:ext uri="{147F2762-F138-4A5C-976F-8EAC2B608ADB}">
              <a16:predDERef xmlns:a16="http://schemas.microsoft.com/office/drawing/2014/main" pred="{26FE263A-B2AB-5DB4-E683-863D4B68C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24950" cy="3790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ruecorp.sharepoint.com/:f:/s/TrueCorp-TrueDtacTH-TotalAccessCommunicationPlc-TechM-Workingarea/IgArQNACQ330Q4dL5DUJbRZtAb1A3PF1bflz5qTRxX7ZSpY?e=ZesM7e" TargetMode="External"/><Relationship Id="rId13" Type="http://schemas.openxmlformats.org/officeDocument/2006/relationships/hyperlink" Target="https://truecorp.sharepoint.com/:f:/s/TrueCorp-TrueDtacTH-TotalAccessCommunicationPlc-TechM-Workingarea/IgC9HOLNazXyRLYKZKUHwCarAW8nXJeAkfTrbRwJ8N9t8tg?e=VvDzjM" TargetMode="External"/><Relationship Id="rId3" Type="http://schemas.openxmlformats.org/officeDocument/2006/relationships/hyperlink" Target="https://truecorp.sharepoint.com/:f:/s/TrueCorp-TrueDtacTH-TotalAccessCommunicationPlc-TechM-Workingarea/IgAkSfwzF6-SS4bDNdBUPzrxAQ0l1gwMQ3PjC56QWYLu1q0?e=1oE1wO" TargetMode="External"/><Relationship Id="rId7" Type="http://schemas.openxmlformats.org/officeDocument/2006/relationships/hyperlink" Target="https://truecorp.sharepoint.com/:f:/s/TrueCorp-TrueDtacTH-TotalAccessCommunicationPlc-TechM-Workingarea/IgAPuuTzlDnYR7u-dfv4xX3BATKL0lFt998UejUDzaOoMoA?e=DaiDOm" TargetMode="External"/><Relationship Id="rId12" Type="http://schemas.openxmlformats.org/officeDocument/2006/relationships/hyperlink" Target="https://truecorp.sharepoint.com/:f:/s/TrueCorp-TrueDtacTH-TotalAccessCommunicationPlc-TechM-Workingarea/IgC-uNOFsVd8Q78_lZ5tQNFDAWbceHXN7IY8zurCead1rW4?e=aHd4Pv" TargetMode="External"/><Relationship Id="rId2" Type="http://schemas.openxmlformats.org/officeDocument/2006/relationships/hyperlink" Target="https://truecorp.sharepoint.com/:f:/s/TrueCorp-TrueDtacTH-TotalAccessCommunicationPlc-TechM-Workingarea/IgAJQcActHAnR7NEmz83mTG1ASPlvnL74LUyos5bWBTjae4?e=JIKMOT" TargetMode="External"/><Relationship Id="rId1" Type="http://schemas.openxmlformats.org/officeDocument/2006/relationships/hyperlink" Target="https://truecorp.sharepoint.com/:f:/s/TrueCorp-TrueDtacTH-TotalAccessCommunicationPlc-TechM-Workingarea/IgCwXA-9Mx1oT5IpJnsX8xBQAfKwGoIiMb83fVCtXm5Foic?e=84VJEx" TargetMode="External"/><Relationship Id="rId6" Type="http://schemas.openxmlformats.org/officeDocument/2006/relationships/hyperlink" Target="https://truecorp.sharepoint.com/:f:/s/TrueCorp-TrueDtacTH-TotalAccessCommunicationPlc-TechM-Workingarea/IgAItkdNRFD7QJN2_froYwMmAfdhzZazKwJZJ13C-eWzibw?e=2WX5Pe" TargetMode="External"/><Relationship Id="rId11" Type="http://schemas.openxmlformats.org/officeDocument/2006/relationships/hyperlink" Target="https://truecorp.sharepoint.com/:f:/s/TrueCorp-TrueDtacTH-TotalAccessCommunicationPlc-TechM-Workingarea/IgDwomXsHcUrSIPVi1KjTY8HAXh9fJztAYR1i9hJ-iLU5Mk?e=HhojkR" TargetMode="External"/><Relationship Id="rId5" Type="http://schemas.openxmlformats.org/officeDocument/2006/relationships/hyperlink" Target="https://truecorp.sharepoint.com/:f:/s/TrueCorp-TrueDtacTH-TotalAccessCommunicationPlc-TechM-Workingarea/IgA5bu5r70OHTo-WCH2SxJ6bAVjrlvXD3WsKW5PM2fpNmvs?e=wFN6bz" TargetMode="External"/><Relationship Id="rId10" Type="http://schemas.openxmlformats.org/officeDocument/2006/relationships/hyperlink" Target="https://truecorp.sharepoint.com/:f:/s/TrueCorp-TrueDtacTH-TotalAccessCommunicationPlc-TechM-Workingarea/IgCxJ66Sq-BfRbSvSlzwVbhQAeAUxmnSkCJKpd7WqcJVFHU?e=Guz3hU" TargetMode="External"/><Relationship Id="rId4" Type="http://schemas.openxmlformats.org/officeDocument/2006/relationships/hyperlink" Target="https://truecorp.sharepoint.com/:f:/s/TrueCorp-TrueDtacTH-TotalAccessCommunicationPlc-TechM-Workingarea/IgC_bBioN4RvQJ7BNsXT2TDQAfxRwNY24fBHH6xc8LfZD_Q?e=9C3vNg" TargetMode="External"/><Relationship Id="rId9" Type="http://schemas.openxmlformats.org/officeDocument/2006/relationships/hyperlink" Target="https://truecorp.sharepoint.com/:f:/s/TrueCorp-TrueDtacTH-TotalAccessCommunicationPlc-TechM-Workingarea/IgAOAKYnl3QUR789dqdn1rG3AQPnaWslEWLA-xkfoWwlIFg?e=bRehjv" TargetMode="External"/><Relationship Id="rId14" Type="http://schemas.openxmlformats.org/officeDocument/2006/relationships/hyperlink" Target="https://truecorp.sharepoint.com/:f:/s/TrueCorp-TrueDtacTH-TotalAccessCommunicationPlc-TechM-Workingarea/IgBU9oh0UW-AQb7OiSE2kLxBAZFrOw2Bihp7J1RhQkr50NE?e=MTnC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84B30-E38C-4796-A1D7-B4B0F2F4B549}">
  <dimension ref="A1"/>
  <sheetViews>
    <sheetView workbookViewId="0">
      <selection activeCell="D27" sqref="D27"/>
    </sheetView>
  </sheetViews>
  <sheetFormatPr defaultRowHeight="12.7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02"/>
  <sheetViews>
    <sheetView tabSelected="1" workbookViewId="0">
      <pane ySplit="3" topLeftCell="R4" activePane="bottomLeft" state="frozen"/>
      <selection pane="bottomLeft" activeCell="Z4" sqref="Z4"/>
    </sheetView>
  </sheetViews>
  <sheetFormatPr defaultColWidth="12.5703125" defaultRowHeight="15" customHeight="1"/>
  <cols>
    <col min="1" max="1" width="10.42578125" hidden="1" customWidth="1"/>
    <col min="2" max="2" width="11.85546875" customWidth="1"/>
    <col min="3" max="3" width="25.7109375" customWidth="1"/>
    <col min="4" max="4" width="10" customWidth="1"/>
    <col min="5" max="5" width="25.7109375" customWidth="1"/>
    <col min="6" max="6" width="11.140625" customWidth="1"/>
    <col min="7" max="7" width="25.7109375" customWidth="1"/>
    <col min="8" max="8" width="12.5703125" customWidth="1"/>
    <col min="9" max="9" width="35.85546875" customWidth="1"/>
    <col min="10" max="12" width="10.140625" customWidth="1"/>
    <col min="13" max="13" width="12.5703125" customWidth="1"/>
    <col min="14" max="18" width="7.42578125" customWidth="1"/>
    <col min="19" max="21" width="5.5703125" customWidth="1"/>
    <col min="22" max="22" width="6.42578125" customWidth="1"/>
    <col min="23" max="23" width="36.7109375" customWidth="1"/>
    <col min="24" max="24" width="57.5703125" customWidth="1"/>
    <col min="25" max="25" width="19.140625" customWidth="1"/>
    <col min="26" max="26" width="27" customWidth="1"/>
    <col min="27" max="28" width="14.42578125" customWidth="1"/>
    <col min="29" max="29" width="46.28515625" customWidth="1"/>
  </cols>
  <sheetData>
    <row r="1" spans="1:30" ht="15.75" customHeight="1">
      <c r="A1" s="69" t="s">
        <v>0</v>
      </c>
      <c r="B1" s="69" t="s">
        <v>1</v>
      </c>
      <c r="C1" s="71" t="s">
        <v>2</v>
      </c>
      <c r="D1" s="80" t="s">
        <v>3</v>
      </c>
      <c r="E1" s="80"/>
      <c r="F1" s="80"/>
      <c r="G1" s="80"/>
      <c r="H1" s="70" t="s">
        <v>4</v>
      </c>
      <c r="I1" s="71" t="s">
        <v>5</v>
      </c>
      <c r="J1" s="72" t="s">
        <v>6</v>
      </c>
      <c r="K1" s="74" t="s">
        <v>7</v>
      </c>
      <c r="L1" s="75"/>
      <c r="M1" s="73" t="s">
        <v>8</v>
      </c>
      <c r="N1" s="68" t="s">
        <v>9</v>
      </c>
      <c r="O1" s="93"/>
      <c r="P1" s="93"/>
      <c r="Q1" s="93"/>
      <c r="R1" s="94"/>
      <c r="S1" s="63" t="s">
        <v>10</v>
      </c>
      <c r="T1" s="95"/>
      <c r="U1" s="95"/>
      <c r="V1" s="96"/>
      <c r="W1" s="70" t="s">
        <v>11</v>
      </c>
      <c r="X1" s="69" t="s">
        <v>12</v>
      </c>
      <c r="Y1" s="69" t="s">
        <v>13</v>
      </c>
      <c r="Z1" s="69" t="s">
        <v>14</v>
      </c>
      <c r="AA1" s="81" t="s">
        <v>15</v>
      </c>
      <c r="AB1" s="81" t="s">
        <v>16</v>
      </c>
      <c r="AC1" s="69" t="s">
        <v>17</v>
      </c>
    </row>
    <row r="2" spans="1:30" ht="30" customHeight="1">
      <c r="A2" s="97"/>
      <c r="B2" s="97"/>
      <c r="C2" s="78"/>
      <c r="D2" s="80" t="s">
        <v>18</v>
      </c>
      <c r="E2" s="80"/>
      <c r="F2" s="80" t="s">
        <v>19</v>
      </c>
      <c r="G2" s="80"/>
      <c r="H2" s="98"/>
      <c r="I2" s="99"/>
      <c r="J2" s="100"/>
      <c r="K2" s="74" t="s">
        <v>20</v>
      </c>
      <c r="L2" s="75" t="s">
        <v>21</v>
      </c>
      <c r="M2" s="101"/>
      <c r="N2" s="64" t="s">
        <v>22</v>
      </c>
      <c r="O2" s="65" t="s">
        <v>23</v>
      </c>
      <c r="P2" s="102"/>
      <c r="Q2" s="66" t="s">
        <v>24</v>
      </c>
      <c r="R2" s="67" t="s">
        <v>25</v>
      </c>
      <c r="S2" s="103"/>
      <c r="T2" s="104"/>
      <c r="U2" s="104"/>
      <c r="V2" s="105"/>
      <c r="W2" s="98"/>
      <c r="X2" s="97"/>
      <c r="Y2" s="97"/>
      <c r="Z2" s="97"/>
      <c r="AA2" s="106"/>
      <c r="AB2" s="106"/>
      <c r="AC2" s="97"/>
    </row>
    <row r="3" spans="1:30" ht="45.75" customHeight="1">
      <c r="A3" s="107"/>
      <c r="B3" s="107"/>
      <c r="C3" s="79"/>
      <c r="D3" s="55" t="s">
        <v>26</v>
      </c>
      <c r="E3" s="55" t="s">
        <v>27</v>
      </c>
      <c r="F3" s="55" t="s">
        <v>26</v>
      </c>
      <c r="G3" s="51" t="s">
        <v>27</v>
      </c>
      <c r="H3" s="108"/>
      <c r="I3" s="109"/>
      <c r="J3" s="100"/>
      <c r="K3" s="76"/>
      <c r="L3" s="77"/>
      <c r="M3" s="110"/>
      <c r="N3" s="111"/>
      <c r="O3" s="23" t="s">
        <v>28</v>
      </c>
      <c r="P3" s="23" t="s">
        <v>29</v>
      </c>
      <c r="Q3" s="112"/>
      <c r="R3" s="113"/>
      <c r="S3" s="34" t="s">
        <v>30</v>
      </c>
      <c r="T3" s="35" t="s">
        <v>31</v>
      </c>
      <c r="U3" s="35" t="s">
        <v>32</v>
      </c>
      <c r="V3" s="36" t="s">
        <v>33</v>
      </c>
      <c r="W3" s="108"/>
      <c r="X3" s="107"/>
      <c r="Y3" s="107"/>
      <c r="Z3" s="107"/>
      <c r="AA3" s="106"/>
      <c r="AB3" s="106"/>
      <c r="AC3" s="107"/>
    </row>
    <row r="4" spans="1:30" ht="120" customHeight="1">
      <c r="A4" s="1" t="s">
        <v>34</v>
      </c>
      <c r="B4" s="22" t="s">
        <v>35</v>
      </c>
      <c r="C4" s="30" t="s">
        <v>36</v>
      </c>
      <c r="D4" s="52" t="s">
        <v>18</v>
      </c>
      <c r="E4" s="56" t="s">
        <v>37</v>
      </c>
      <c r="F4" s="52" t="s">
        <v>19</v>
      </c>
      <c r="G4" s="56" t="s">
        <v>38</v>
      </c>
      <c r="H4" s="2" t="s">
        <v>39</v>
      </c>
      <c r="I4" s="30" t="s">
        <v>40</v>
      </c>
      <c r="J4" s="3" t="s">
        <v>41</v>
      </c>
      <c r="K4" s="33" t="s">
        <v>42</v>
      </c>
      <c r="L4" s="32"/>
      <c r="M4" s="29" t="s">
        <v>43</v>
      </c>
      <c r="N4" s="39" t="s">
        <v>42</v>
      </c>
      <c r="O4" s="40"/>
      <c r="P4" s="40"/>
      <c r="Q4" s="40"/>
      <c r="R4" s="41"/>
      <c r="S4" s="48" t="s">
        <v>42</v>
      </c>
      <c r="T4" s="43"/>
      <c r="U4" s="44"/>
      <c r="V4" s="45"/>
      <c r="W4" s="7" t="s">
        <v>44</v>
      </c>
      <c r="X4" s="1" t="s">
        <v>45</v>
      </c>
      <c r="Y4" s="8" t="s">
        <v>46</v>
      </c>
      <c r="Z4" s="8" t="s">
        <v>47</v>
      </c>
      <c r="AA4" s="57" t="s">
        <v>48</v>
      </c>
      <c r="AB4" s="57" t="s">
        <v>48</v>
      </c>
      <c r="AC4" s="22" t="s">
        <v>49</v>
      </c>
      <c r="AD4" s="9"/>
    </row>
    <row r="5" spans="1:30" ht="120" customHeight="1">
      <c r="A5" s="1" t="s">
        <v>34</v>
      </c>
      <c r="B5" s="22" t="s">
        <v>35</v>
      </c>
      <c r="C5" s="30" t="s">
        <v>36</v>
      </c>
      <c r="D5" s="83"/>
      <c r="E5" s="83"/>
      <c r="F5" s="83"/>
      <c r="G5" s="84"/>
      <c r="H5" s="2" t="s">
        <v>50</v>
      </c>
      <c r="I5" s="30" t="s">
        <v>51</v>
      </c>
      <c r="J5" s="3" t="s">
        <v>41</v>
      </c>
      <c r="K5" s="33" t="s">
        <v>42</v>
      </c>
      <c r="L5" s="32"/>
      <c r="M5" s="29" t="s">
        <v>52</v>
      </c>
      <c r="N5" s="4" t="s">
        <v>42</v>
      </c>
      <c r="O5" s="5"/>
      <c r="P5" s="5"/>
      <c r="Q5" s="5"/>
      <c r="R5" s="6" t="s">
        <v>42</v>
      </c>
      <c r="S5" s="38" t="s">
        <v>42</v>
      </c>
      <c r="T5" s="25"/>
      <c r="U5" s="24"/>
      <c r="V5" s="26"/>
      <c r="W5" s="7" t="s">
        <v>53</v>
      </c>
      <c r="X5" s="1" t="s">
        <v>54</v>
      </c>
      <c r="Y5" s="8" t="s">
        <v>46</v>
      </c>
      <c r="Z5" s="8" t="s">
        <v>47</v>
      </c>
      <c r="AA5" s="82" t="s">
        <v>55</v>
      </c>
      <c r="AB5" s="82" t="s">
        <v>55</v>
      </c>
      <c r="AC5" s="22" t="s">
        <v>56</v>
      </c>
      <c r="AD5" s="9"/>
    </row>
    <row r="6" spans="1:30" ht="120" customHeight="1">
      <c r="A6" s="1" t="s">
        <v>34</v>
      </c>
      <c r="B6" s="22" t="s">
        <v>35</v>
      </c>
      <c r="C6" s="30" t="s">
        <v>36</v>
      </c>
      <c r="D6" s="85" t="s">
        <v>18</v>
      </c>
      <c r="E6" s="86" t="s">
        <v>57</v>
      </c>
      <c r="F6" s="85" t="s">
        <v>19</v>
      </c>
      <c r="G6" s="87" t="s">
        <v>58</v>
      </c>
      <c r="H6" s="2" t="s">
        <v>59</v>
      </c>
      <c r="I6" s="30" t="s">
        <v>60</v>
      </c>
      <c r="J6" s="3" t="s">
        <v>41</v>
      </c>
      <c r="K6" s="33" t="s">
        <v>42</v>
      </c>
      <c r="L6" s="32"/>
      <c r="M6" s="29" t="s">
        <v>61</v>
      </c>
      <c r="N6" s="4" t="s">
        <v>42</v>
      </c>
      <c r="O6" s="5"/>
      <c r="P6" s="5"/>
      <c r="Q6" s="5"/>
      <c r="R6" s="6" t="s">
        <v>42</v>
      </c>
      <c r="S6" s="38" t="s">
        <v>42</v>
      </c>
      <c r="T6" s="24"/>
      <c r="U6" s="24"/>
      <c r="V6" s="26"/>
      <c r="W6" s="7" t="s">
        <v>62</v>
      </c>
      <c r="X6" s="1" t="s">
        <v>63</v>
      </c>
      <c r="Y6" s="8" t="s">
        <v>46</v>
      </c>
      <c r="Z6" s="8" t="s">
        <v>46</v>
      </c>
      <c r="AA6" s="57" t="s">
        <v>48</v>
      </c>
      <c r="AB6" s="57" t="s">
        <v>48</v>
      </c>
      <c r="AC6" s="22" t="s">
        <v>64</v>
      </c>
      <c r="AD6" s="9"/>
    </row>
    <row r="7" spans="1:30" ht="120" customHeight="1">
      <c r="A7" s="1" t="s">
        <v>34</v>
      </c>
      <c r="B7" s="22" t="s">
        <v>35</v>
      </c>
      <c r="C7" s="54" t="s">
        <v>36</v>
      </c>
      <c r="D7" s="88" t="s">
        <v>18</v>
      </c>
      <c r="E7" s="86" t="s">
        <v>65</v>
      </c>
      <c r="F7" s="88" t="s">
        <v>19</v>
      </c>
      <c r="G7" s="87" t="s">
        <v>58</v>
      </c>
      <c r="H7" s="2" t="s">
        <v>66</v>
      </c>
      <c r="I7" s="30" t="s">
        <v>67</v>
      </c>
      <c r="J7" s="3" t="s">
        <v>41</v>
      </c>
      <c r="K7" s="33" t="s">
        <v>42</v>
      </c>
      <c r="L7" s="32"/>
      <c r="M7" s="29" t="s">
        <v>68</v>
      </c>
      <c r="N7" s="4" t="s">
        <v>42</v>
      </c>
      <c r="O7" s="2" t="s">
        <v>42</v>
      </c>
      <c r="P7" s="5"/>
      <c r="Q7" s="5"/>
      <c r="R7" s="6" t="s">
        <v>42</v>
      </c>
      <c r="S7" s="38"/>
      <c r="T7" s="25"/>
      <c r="U7" s="24" t="s">
        <v>42</v>
      </c>
      <c r="V7" s="26"/>
      <c r="W7" s="7" t="s">
        <v>69</v>
      </c>
      <c r="X7" s="1" t="s">
        <v>70</v>
      </c>
      <c r="Y7" s="8" t="s">
        <v>46</v>
      </c>
      <c r="Z7" s="8" t="s">
        <v>46</v>
      </c>
      <c r="AA7" s="57" t="s">
        <v>48</v>
      </c>
      <c r="AB7" s="57" t="s">
        <v>48</v>
      </c>
      <c r="AC7" s="22" t="s">
        <v>71</v>
      </c>
      <c r="AD7" s="9"/>
    </row>
    <row r="8" spans="1:30" ht="120" customHeight="1">
      <c r="A8" s="1" t="s">
        <v>34</v>
      </c>
      <c r="B8" s="61" t="s">
        <v>35</v>
      </c>
      <c r="C8" s="1" t="s">
        <v>36</v>
      </c>
      <c r="D8" s="62" t="s">
        <v>18</v>
      </c>
      <c r="E8" s="60" t="s">
        <v>72</v>
      </c>
      <c r="F8" s="52" t="s">
        <v>19</v>
      </c>
      <c r="G8" s="53" t="s">
        <v>73</v>
      </c>
      <c r="H8" s="2" t="s">
        <v>74</v>
      </c>
      <c r="I8" s="30" t="s">
        <v>75</v>
      </c>
      <c r="J8" s="3" t="s">
        <v>41</v>
      </c>
      <c r="K8" s="33" t="s">
        <v>42</v>
      </c>
      <c r="L8" s="32"/>
      <c r="M8" s="29" t="s">
        <v>76</v>
      </c>
      <c r="N8" s="4" t="s">
        <v>42</v>
      </c>
      <c r="O8" s="5"/>
      <c r="P8" s="5"/>
      <c r="Q8" s="2" t="s">
        <v>42</v>
      </c>
      <c r="R8" s="6" t="s">
        <v>42</v>
      </c>
      <c r="S8" s="38" t="s">
        <v>42</v>
      </c>
      <c r="T8" s="24"/>
      <c r="U8" s="24"/>
      <c r="V8" s="26"/>
      <c r="W8" s="7" t="s">
        <v>77</v>
      </c>
      <c r="X8" s="1" t="s">
        <v>78</v>
      </c>
      <c r="Y8" s="8" t="s">
        <v>46</v>
      </c>
      <c r="Z8" s="8" t="s">
        <v>47</v>
      </c>
      <c r="AA8" s="57" t="s">
        <v>48</v>
      </c>
      <c r="AB8" s="57" t="s">
        <v>48</v>
      </c>
      <c r="AC8" s="22" t="s">
        <v>79</v>
      </c>
      <c r="AD8" s="9"/>
    </row>
    <row r="9" spans="1:30" ht="120" customHeight="1">
      <c r="A9" s="1" t="s">
        <v>34</v>
      </c>
      <c r="B9" s="22" t="s">
        <v>35</v>
      </c>
      <c r="C9" s="50" t="s">
        <v>36</v>
      </c>
      <c r="D9" s="89" t="s">
        <v>18</v>
      </c>
      <c r="E9" s="90" t="s">
        <v>57</v>
      </c>
      <c r="F9" s="89" t="s">
        <v>19</v>
      </c>
      <c r="G9" s="91" t="s">
        <v>80</v>
      </c>
      <c r="H9" s="2" t="s">
        <v>81</v>
      </c>
      <c r="I9" s="30" t="s">
        <v>82</v>
      </c>
      <c r="J9" s="3" t="s">
        <v>41</v>
      </c>
      <c r="K9" s="33" t="s">
        <v>42</v>
      </c>
      <c r="L9" s="32"/>
      <c r="M9" s="37" t="s">
        <v>83</v>
      </c>
      <c r="N9" s="4" t="s">
        <v>42</v>
      </c>
      <c r="O9" s="5"/>
      <c r="P9" s="2" t="s">
        <v>42</v>
      </c>
      <c r="Q9" s="2" t="s">
        <v>42</v>
      </c>
      <c r="R9" s="42"/>
      <c r="S9" s="38" t="s">
        <v>42</v>
      </c>
      <c r="T9" s="24"/>
      <c r="U9" s="24"/>
      <c r="V9" s="46"/>
      <c r="W9" s="7" t="s">
        <v>84</v>
      </c>
      <c r="X9" s="1" t="s">
        <v>78</v>
      </c>
      <c r="Y9" s="8" t="s">
        <v>46</v>
      </c>
      <c r="Z9" s="8" t="s">
        <v>46</v>
      </c>
      <c r="AA9" s="59" t="s">
        <v>48</v>
      </c>
      <c r="AB9" s="59" t="s">
        <v>48</v>
      </c>
      <c r="AC9" s="22" t="s">
        <v>85</v>
      </c>
      <c r="AD9" s="9"/>
    </row>
    <row r="10" spans="1:30" ht="120" customHeight="1">
      <c r="A10" s="1" t="s">
        <v>34</v>
      </c>
      <c r="B10" s="22" t="s">
        <v>35</v>
      </c>
      <c r="C10" s="30" t="s">
        <v>36</v>
      </c>
      <c r="D10" s="52" t="s">
        <v>18</v>
      </c>
      <c r="E10" s="2" t="s">
        <v>86</v>
      </c>
      <c r="F10" s="52" t="s">
        <v>19</v>
      </c>
      <c r="G10" s="2" t="s">
        <v>87</v>
      </c>
      <c r="H10" s="58" t="s">
        <v>88</v>
      </c>
      <c r="I10" s="30" t="s">
        <v>89</v>
      </c>
      <c r="J10" s="3" t="s">
        <v>41</v>
      </c>
      <c r="K10" s="32"/>
      <c r="L10" s="33" t="s">
        <v>42</v>
      </c>
      <c r="M10" s="29" t="s">
        <v>90</v>
      </c>
      <c r="N10" s="4" t="s">
        <v>42</v>
      </c>
      <c r="O10" s="5"/>
      <c r="P10" s="5"/>
      <c r="Q10" s="5"/>
      <c r="R10" s="6" t="s">
        <v>42</v>
      </c>
      <c r="S10" s="38" t="s">
        <v>42</v>
      </c>
      <c r="T10" s="24"/>
      <c r="U10" s="24"/>
      <c r="V10" s="26"/>
      <c r="W10" s="7" t="s">
        <v>91</v>
      </c>
      <c r="X10" s="1" t="s">
        <v>63</v>
      </c>
      <c r="Y10" s="8" t="s">
        <v>46</v>
      </c>
      <c r="Z10" s="8" t="s">
        <v>46</v>
      </c>
      <c r="AA10" s="59" t="s">
        <v>48</v>
      </c>
      <c r="AB10" s="59" t="s">
        <v>48</v>
      </c>
      <c r="AC10" s="22" t="s">
        <v>92</v>
      </c>
      <c r="AD10" s="9"/>
    </row>
    <row r="11" spans="1:30" ht="120" customHeight="1">
      <c r="A11" s="1" t="s">
        <v>34</v>
      </c>
      <c r="B11" s="22" t="s">
        <v>35</v>
      </c>
      <c r="C11" s="30" t="s">
        <v>36</v>
      </c>
      <c r="D11" s="85" t="s">
        <v>18</v>
      </c>
      <c r="E11" s="92" t="s">
        <v>86</v>
      </c>
      <c r="F11" s="85" t="s">
        <v>19</v>
      </c>
      <c r="G11" s="92" t="s">
        <v>87</v>
      </c>
      <c r="H11" s="2" t="s">
        <v>93</v>
      </c>
      <c r="I11" s="30" t="s">
        <v>94</v>
      </c>
      <c r="J11" s="3" t="s">
        <v>41</v>
      </c>
      <c r="K11" s="32"/>
      <c r="L11" s="33" t="s">
        <v>42</v>
      </c>
      <c r="M11" s="37" t="s">
        <v>95</v>
      </c>
      <c r="N11" s="10" t="s">
        <v>42</v>
      </c>
      <c r="O11" s="11"/>
      <c r="P11" s="12" t="s">
        <v>42</v>
      </c>
      <c r="Q11" s="12" t="s">
        <v>42</v>
      </c>
      <c r="R11" s="47" t="s">
        <v>42</v>
      </c>
      <c r="S11" s="49" t="s">
        <v>42</v>
      </c>
      <c r="T11" s="27"/>
      <c r="U11" s="27"/>
      <c r="V11" s="28"/>
      <c r="W11" s="7" t="s">
        <v>96</v>
      </c>
      <c r="X11" s="1" t="s">
        <v>78</v>
      </c>
      <c r="Y11" s="8" t="s">
        <v>46</v>
      </c>
      <c r="Z11" s="8" t="s">
        <v>46</v>
      </c>
      <c r="AA11" s="59" t="s">
        <v>48</v>
      </c>
      <c r="AB11" s="59" t="s">
        <v>48</v>
      </c>
      <c r="AC11" s="22" t="s">
        <v>97</v>
      </c>
      <c r="AD11" s="9"/>
    </row>
    <row r="12" spans="1:30" ht="15.75" customHeight="1">
      <c r="J12" s="31"/>
      <c r="K12" s="31"/>
      <c r="L12" s="31"/>
      <c r="N12" s="31"/>
      <c r="O12" s="31"/>
      <c r="P12" s="31"/>
      <c r="Q12" s="31"/>
      <c r="R12" s="31"/>
      <c r="S12" s="31"/>
      <c r="T12" s="31"/>
      <c r="U12" s="31"/>
      <c r="V12" s="31"/>
    </row>
    <row r="13" spans="1:30" ht="15.75" customHeight="1"/>
    <row r="14" spans="1:30" ht="15.75" customHeight="1">
      <c r="Z14" s="13" t="s">
        <v>98</v>
      </c>
      <c r="AA14" s="14"/>
      <c r="AB14" s="14"/>
    </row>
    <row r="15" spans="1:30" ht="15.75" customHeight="1">
      <c r="Z15" s="15"/>
      <c r="AA15" s="16"/>
      <c r="AB15" s="16"/>
    </row>
    <row r="16" spans="1:30" ht="15.75" customHeight="1">
      <c r="Z16" s="15"/>
      <c r="AA16" s="17" t="s">
        <v>18</v>
      </c>
      <c r="AB16" s="17" t="s">
        <v>19</v>
      </c>
    </row>
    <row r="17" spans="26:28" ht="15.75" customHeight="1">
      <c r="Z17" s="18" t="s">
        <v>99</v>
      </c>
      <c r="AA17" s="20">
        <f>COUNTIF(AA4:AA11,"Not Start")</f>
        <v>0</v>
      </c>
      <c r="AB17" s="20">
        <f>COUNTIF(AB4:AB11,"Not Start")</f>
        <v>0</v>
      </c>
    </row>
    <row r="18" spans="26:28" ht="15.75" customHeight="1">
      <c r="Z18" s="18" t="s">
        <v>100</v>
      </c>
      <c r="AA18" s="20">
        <f>COUNTIF(AA4:AA11,"Inprogress")</f>
        <v>0</v>
      </c>
      <c r="AB18" s="20">
        <f>COUNTIF(AB4:AB11,"Inprogress")</f>
        <v>0</v>
      </c>
    </row>
    <row r="19" spans="26:28" ht="15.75" customHeight="1">
      <c r="Z19" s="18" t="s">
        <v>55</v>
      </c>
      <c r="AA19" s="20">
        <f>COUNTIF(AA4:AA11,"Skip")</f>
        <v>1</v>
      </c>
      <c r="AB19" s="20">
        <f>COUNTIF(AB4:AB11,"Skip")</f>
        <v>1</v>
      </c>
    </row>
    <row r="20" spans="26:28" ht="15.75" customHeight="1">
      <c r="Z20" s="18" t="s">
        <v>101</v>
      </c>
      <c r="AA20" s="20">
        <f>COUNTIF(AA4:AA11,"Failed")</f>
        <v>0</v>
      </c>
      <c r="AB20" s="20">
        <f>COUNTIF(AB4:AB11,"Failed")</f>
        <v>0</v>
      </c>
    </row>
    <row r="21" spans="26:28" ht="15.75" customHeight="1">
      <c r="Z21" s="18" t="s">
        <v>102</v>
      </c>
      <c r="AA21" s="19">
        <f>COUNTIF(AA4:AA11,"Passed")</f>
        <v>7</v>
      </c>
      <c r="AB21" s="19">
        <f>COUNTIF(AB4:AB11,"Passed")</f>
        <v>7</v>
      </c>
    </row>
    <row r="22" spans="26:28" ht="15.75" customHeight="1">
      <c r="Z22" s="15"/>
      <c r="AA22" s="15"/>
      <c r="AB22" s="15"/>
    </row>
    <row r="23" spans="26:28" ht="15.75" customHeight="1">
      <c r="Z23" s="15"/>
      <c r="AA23" s="17" t="s">
        <v>18</v>
      </c>
      <c r="AB23" s="17" t="s">
        <v>19</v>
      </c>
    </row>
    <row r="24" spans="26:28" ht="15.75" customHeight="1">
      <c r="Z24" s="18" t="s">
        <v>103</v>
      </c>
      <c r="AA24" s="21">
        <f t="shared" ref="AA24:AB24" si="0">AA21/(AA21+AA17+AA18+AA20)</f>
        <v>1</v>
      </c>
      <c r="AB24" s="21">
        <f t="shared" si="0"/>
        <v>1</v>
      </c>
    </row>
    <row r="25" spans="26:28" ht="15.75" customHeight="1"/>
    <row r="26" spans="26:28" ht="15.75" customHeight="1"/>
    <row r="27" spans="26:28" ht="15.75" customHeight="1"/>
    <row r="28" spans="26:28" ht="15.75" customHeight="1"/>
    <row r="29" spans="26:28" ht="15.75" customHeight="1"/>
    <row r="30" spans="26:28" ht="15.75" customHeight="1"/>
    <row r="31" spans="26:28" ht="15.75" customHeight="1"/>
    <row r="32" spans="26:2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6">
    <mergeCell ref="AB1:AB3"/>
    <mergeCell ref="AC1:AC3"/>
    <mergeCell ref="W1:W3"/>
    <mergeCell ref="X1:X3"/>
    <mergeCell ref="Y1:Y3"/>
    <mergeCell ref="Z1:Z3"/>
    <mergeCell ref="AA1:AA3"/>
    <mergeCell ref="A1:A3"/>
    <mergeCell ref="H1:H3"/>
    <mergeCell ref="I1:I3"/>
    <mergeCell ref="J1:J3"/>
    <mergeCell ref="M1:M3"/>
    <mergeCell ref="K1:L1"/>
    <mergeCell ref="K2:K3"/>
    <mergeCell ref="L2:L3"/>
    <mergeCell ref="B1:B3"/>
    <mergeCell ref="C1:C3"/>
    <mergeCell ref="D1:G1"/>
    <mergeCell ref="D2:E2"/>
    <mergeCell ref="F2:G2"/>
    <mergeCell ref="S1:V2"/>
    <mergeCell ref="N2:N3"/>
    <mergeCell ref="O2:P2"/>
    <mergeCell ref="Q2:Q3"/>
    <mergeCell ref="R2:R3"/>
    <mergeCell ref="N1:R1"/>
  </mergeCells>
  <dataValidations count="3">
    <dataValidation type="list" allowBlank="1" showErrorMessage="1" sqref="J4:J11" xr:uid="{00000000-0002-0000-0000-000000000000}">
      <formula1>"Positive,Negative"</formula1>
    </dataValidation>
    <dataValidation type="list" allowBlank="1" showErrorMessage="1" sqref="AA4:AB8" xr:uid="{00000000-0002-0000-0000-000001000000}">
      <formula1>"Not Start,Inprogress,Failed,Passed,Skip,Block"</formula1>
    </dataValidation>
    <dataValidation type="list" allowBlank="1" showErrorMessage="1" sqref="AA9:AB11" xr:uid="{EAC41A94-6A80-48BB-96CB-758B7B90B371}">
      <formula1>"Not Start,Inprogress,Failed,Passed,Block,Skip"</formula1>
    </dataValidation>
  </dataValidations>
  <hyperlinks>
    <hyperlink ref="F8" r:id="rId1" xr:uid="{B76787F2-0B5F-42AB-9771-1EB561CA25EE}"/>
    <hyperlink ref="D4" r:id="rId2" xr:uid="{4F9DC992-7C39-4FEA-B4F8-D67EBD621A94}"/>
    <hyperlink ref="F4" r:id="rId3" xr:uid="{C5DE4BBC-019B-45B9-9F4D-4B821F5D2040}"/>
    <hyperlink ref="D10" r:id="rId4" xr:uid="{4496D5B9-5181-4484-A7E0-8BBC9908BA50}"/>
    <hyperlink ref="F10" r:id="rId5" xr:uid="{104E2EB3-2A5A-42FE-83C6-ADC06DD87A51}"/>
    <hyperlink ref="D8" r:id="rId6" xr:uid="{FCE9A3EA-AAAC-40DA-8880-694308BECE59}"/>
    <hyperlink ref="D6" r:id="rId7" xr:uid="{5FBA2971-5F91-4918-8703-1934CEC11B08}"/>
    <hyperlink ref="F6" r:id="rId8" xr:uid="{3D319DC0-A1A8-4C50-AA21-DC3F2B1635AB}"/>
    <hyperlink ref="D7" r:id="rId9" xr:uid="{9C7525C0-DA2D-4507-AB8B-F524A7520E3F}"/>
    <hyperlink ref="F7" r:id="rId10" xr:uid="{BE5B1A04-25B7-4CC1-94E7-DD51AC9570BC}"/>
    <hyperlink ref="D9" r:id="rId11" xr:uid="{BF6265B3-1DF7-491B-88AC-CFDA40C516E8}"/>
    <hyperlink ref="F9" r:id="rId12" xr:uid="{5DA413E1-4021-444A-B24B-6582D793209D}"/>
    <hyperlink ref="F11" r:id="rId13" xr:uid="{765C9CAF-55C3-4548-8ABA-030BF70513C6}"/>
    <hyperlink ref="D11" r:id="rId14" xr:uid="{C54AB4B1-C781-42A7-9DB3-39E7A7DA5937}"/>
  </hyperlink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60537B31A29749BF6C1BFDA4D9A5D4" ma:contentTypeVersion="11" ma:contentTypeDescription="Create a new document." ma:contentTypeScope="" ma:versionID="695c419b5e0679fa07d167faefefbc4d">
  <xsd:schema xmlns:xsd="http://www.w3.org/2001/XMLSchema" xmlns:xs="http://www.w3.org/2001/XMLSchema" xmlns:p="http://schemas.microsoft.com/office/2006/metadata/properties" xmlns:ns2="f4238801-fdbf-48e7-ad7a-fa95ffe1e2d8" xmlns:ns3="b8dc7d78-3728-400f-ae92-b0db10cb70d5" targetNamespace="http://schemas.microsoft.com/office/2006/metadata/properties" ma:root="true" ma:fieldsID="d84ed4d3c462b0244a2707733784458e" ns2:_="" ns3:_="">
    <xsd:import namespace="f4238801-fdbf-48e7-ad7a-fa95ffe1e2d8"/>
    <xsd:import namespace="b8dc7d78-3728-400f-ae92-b0db10cb70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238801-fdbf-48e7-ad7a-fa95ffe1e2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41e4a55-089b-4a25-8dcc-f61471648b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c7d78-3728-400f-ae92-b0db10cb70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5081bd-1069-4981-b561-32ed23c0ec8d}" ma:internalName="TaxCatchAll" ma:showField="CatchAllData" ma:web="b8dc7d78-3728-400f-ae92-b0db10cb70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238801-fdbf-48e7-ad7a-fa95ffe1e2d8">
      <Terms xmlns="http://schemas.microsoft.com/office/infopath/2007/PartnerControls"/>
    </lcf76f155ced4ddcb4097134ff3c332f>
    <TaxCatchAll xmlns="b8dc7d78-3728-400f-ae92-b0db10cb70d5" xsi:nil="true"/>
  </documentManagement>
</p:properties>
</file>

<file path=customXml/itemProps1.xml><?xml version="1.0" encoding="utf-8"?>
<ds:datastoreItem xmlns:ds="http://schemas.openxmlformats.org/officeDocument/2006/customXml" ds:itemID="{D18A7173-BC7D-46BA-9D70-5F4B4ED20F35}"/>
</file>

<file path=customXml/itemProps2.xml><?xml version="1.0" encoding="utf-8"?>
<ds:datastoreItem xmlns:ds="http://schemas.openxmlformats.org/officeDocument/2006/customXml" ds:itemID="{8CF18FF9-8F8E-4244-9C3E-CEBC59FCF6AD}"/>
</file>

<file path=customXml/itemProps3.xml><?xml version="1.0" encoding="utf-8"?>
<ds:datastoreItem xmlns:ds="http://schemas.openxmlformats.org/officeDocument/2006/customXml" ds:itemID="{6C2E9DCA-9D13-4593-A0DA-B9D535ED03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จันจิรา จันทร์คง</dc:creator>
  <cp:keywords/>
  <dc:description/>
  <cp:lastModifiedBy>Wannapa Thongkham</cp:lastModifiedBy>
  <cp:revision/>
  <dcterms:created xsi:type="dcterms:W3CDTF">2025-09-29T10:09:49Z</dcterms:created>
  <dcterms:modified xsi:type="dcterms:W3CDTF">2026-06-19T07:14:13Z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0x0101004860537B31A29749BF6C1BFDA4D9A5D4</vt:lpwstr>
  </property>
  <property fmtid="{D5CDD505-2E9C-101B-9397-08002B2CF9AE}" pid="3" name="Order">
    <vt:r8>535500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  <property fmtid="{D5CDD505-2E9C-101B-9397-08002B2CF9AE}" pid="10" name="xd_Signature">
    <vt:bool>false</vt:bool>
  </property>
  <property fmtid="{D5CDD505-2E9C-101B-9397-08002B2CF9AE}" pid="11" name="xd_ProgID">
    <vt:lpwstr/>
  </property>
  <property fmtid="{D5CDD505-2E9C-101B-9397-08002B2CF9AE}" pid="12" name="Status">
    <vt:lpwstr>In progress</vt:lpwstr>
  </property>
  <property fmtid="{D5CDD505-2E9C-101B-9397-08002B2CF9AE}" pid="13" name="TemplateUrl">
    <vt:lpwstr/>
  </property>
</Properties>
</file>