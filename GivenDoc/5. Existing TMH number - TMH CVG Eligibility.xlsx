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Wannapa Thongkham\Downloads\"/>
    </mc:Choice>
  </mc:AlternateContent>
  <xr:revisionPtr revIDLastSave="248" documentId="13_ncr:1_{5EBE0960-550D-4FCA-BC1C-B2EDA31A48AA}" xr6:coauthVersionLast="47" xr6:coauthVersionMax="47" xr10:uidLastSave="{0DE007B2-54CE-4CB2-BE3B-841B57FC5B4A}"/>
  <bookViews>
    <workbookView xWindow="-108" yWindow="-108" windowWidth="23256" windowHeight="12456" firstSheet="1" activeTab="1" xr2:uid="{00000000-000D-0000-FFFF-FFFF00000000}"/>
  </bookViews>
  <sheets>
    <sheet name="Scope Backlog 1.1" sheetId="2" r:id="rId1"/>
    <sheet name="EXISTING TMH NUMBER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aMlQgUBqSmrqdJgkw4WvWc7RaAtVCxrRN8RDxk1DcAs="/>
    </ext>
  </extLst>
</workbook>
</file>

<file path=xl/calcChain.xml><?xml version="1.0" encoding="utf-8"?>
<calcChain xmlns="http://schemas.openxmlformats.org/spreadsheetml/2006/main">
  <c r="X19" i="1" l="1"/>
  <c r="W19" i="1"/>
  <c r="X18" i="1"/>
  <c r="W18" i="1"/>
  <c r="X17" i="1"/>
  <c r="W17" i="1"/>
  <c r="X16" i="1"/>
  <c r="W16" i="1"/>
  <c r="X15" i="1"/>
  <c r="W15" i="1"/>
  <c r="W22" i="1" l="1"/>
  <c r="X22" i="1"/>
</calcChain>
</file>

<file path=xl/sharedStrings.xml><?xml version="1.0" encoding="utf-8"?>
<sst xmlns="http://schemas.openxmlformats.org/spreadsheetml/2006/main" count="208" uniqueCount="90">
  <si>
    <t>Funtion</t>
  </si>
  <si>
    <t>Epic Link</t>
  </si>
  <si>
    <t>Refer Backlog No.</t>
  </si>
  <si>
    <t>Test Result iOS</t>
  </si>
  <si>
    <t>Test Result Android</t>
  </si>
  <si>
    <t>Test Case No.</t>
  </si>
  <si>
    <t>Test Scenario</t>
  </si>
  <si>
    <t>Test Case Type</t>
  </si>
  <si>
    <t>Customer</t>
  </si>
  <si>
    <t>Customer has Existing TMH</t>
  </si>
  <si>
    <t xml:space="preserve">Customer has Existing TMH number Join </t>
  </si>
  <si>
    <t>Select TMH number</t>
  </si>
  <si>
    <t>Description
 (Design Step)</t>
  </si>
  <si>
    <t>Expected Result</t>
  </si>
  <si>
    <t>Test Case written by</t>
  </si>
  <si>
    <t>Excute by</t>
  </si>
  <si>
    <t>Status iOS</t>
  </si>
  <si>
    <t xml:space="preserve">Status android </t>
  </si>
  <si>
    <t>Actual Result
 (Design Step)</t>
  </si>
  <si>
    <t>Link Relate Story</t>
  </si>
  <si>
    <t>Link</t>
  </si>
  <si>
    <t>Details</t>
  </si>
  <si>
    <t>Dtac</t>
  </si>
  <si>
    <t>No</t>
  </si>
  <si>
    <t>Yes</t>
  </si>
  <si>
    <t xml:space="preserve">CVG </t>
  </si>
  <si>
    <t>Soft bundle</t>
  </si>
  <si>
    <t>เบอร์เดิม</t>
  </si>
  <si>
    <t>เบอร์ใหม่</t>
  </si>
  <si>
    <t>Exsiting TMH Number</t>
  </si>
  <si>
    <t>Online channel THL-1089</t>
  </si>
  <si>
    <t>3.Register TOL/CVG via online channel</t>
  </si>
  <si>
    <t>iOS</t>
  </si>
  <si>
    <t>Version Built : TOL 73.3 (862)
ตรวจสอบได้ 2 Video 2P และ 4P</t>
  </si>
  <si>
    <t>Android</t>
  </si>
  <si>
    <t>Version Built : 73.1.050702 (TOL-CICD)(308)
ตรวจสอบได้ 2 Video 2P และ 4P</t>
  </si>
  <si>
    <t>EXI_ONL_01</t>
  </si>
  <si>
    <t>Verify the screen when : 
 - Press service type for register 2P/4P
 - Customer not has Existing TMH number</t>
  </si>
  <si>
    <t>Positive</t>
  </si>
  <si>
    <t>X</t>
  </si>
  <si>
    <t>1. Login One App
2. Press "ลงทะเบียนทรูออนไลน์" menu in the "บริการอื่นๆ" Category
3. Open GIS Web View and open oder on GIS Web View success
4. Select type :
     - Press : อินเทอร์เน็ต
     - Press : เบอร์มือถือ
5. Press รูปแบบการขาย ออนไลน์
6. Navigate to Customer ID Validation screen
     - Select card and Input Customer ID Same Location
7. Pass TOL Validation (NEW TOL)
8. Navigate to เลือกเบอร์ทรูมูฟ เอช  เพื่อเข้าร่วมคอนเวอร์เจนซ์ screen</t>
  </si>
  <si>
    <t>- The system bypass EXISTING TMH NUMBER screen then will check customer validation (CUSTOMER ID VALIDATION FOR NEW TMH ONLY -  (2P/4POTT)) and navigate to Customer Self-Verification QR / Ref Code : STAFF SCREEN screen
refer figma : https://www.figma.com/design/yjyoAP0EMDXJST790SY49T/ONE006-ONE-APP---TOL?node-id=15019-126542&amp;t=KFGcHnKifpLskoVU-0</t>
  </si>
  <si>
    <t>Janjira Jankong</t>
  </si>
  <si>
    <t>Wannapa Thongkham</t>
  </si>
  <si>
    <t>Passed</t>
  </si>
  <si>
    <t>Senior CMSales
User : 0883961019
Pass : 111111
Address ID : 87302309
อนุมัติฟรีค่าทางสายเกิน TC Approve Flag = Y
Passport ID : AD2130759</t>
  </si>
  <si>
    <t>THL-76</t>
  </si>
  <si>
    <t>Version Built : TOL 73.3 (862)
ตรวจสอบ Video นาทีที่ 0.32 เป็นต้นไป</t>
  </si>
  <si>
    <t>Version Built : 73.1.050702 (TOL-CICD)(308)</t>
  </si>
  <si>
    <t>EXI_ONL_02</t>
  </si>
  <si>
    <t>Verify the screen when : 
 - Customer has Existing TMH number
 - Press mobile in เลือกเบอร์เดิม section</t>
  </si>
  <si>
    <t>1. Login One App
2. Press "ลงทะเบียนทรูออนไลน์" menu in the "บริการอื่นๆ" Category
3. Open GIS Web View and open oder on GIS Web View success
4. Select type :
     - Press : อินเทอร์เน็ต
     - Press : เบอร์มือถือ
5. Press รูปแบบการขาย ออนไลน์
6. Navigate to Customer ID Validation screen
     - Select card and Input Customer ID Same Location
7. Pass TOL Validation (NEW TOL)
8. Navigate to เลือกเบอร์ทรูมูฟ เอช  เพื่อเข้าร่วมคอนเวอร์เจนซ์ screen
    - Customer select existing TMH</t>
  </si>
  <si>
    <t>- The system Display TMH number is correct Refer figma : 
https://www.figma.com/design/yjyoAP0EMDXJST790SY49T/ONE006-ONE-APP---TOL?node-id=2678-168056&amp;t=gmgAe4CrrorcgoGu-4
- When click mobile will navigate to Customer Self-Verification QR / Ref Code : STAFF SCREEN screen Refer figma : 
https://www.figma.com/design/yjyoAP0EMDXJST790SY49T/ONE006-ONE-APP---TOL?node-id=13800-83546&amp;t=gmgAe4CrrorcgoGu-4</t>
  </si>
  <si>
    <t>Senior CMSales
User : 0883961019
Pass : 111111
Address ID : 87302309
อนุมัติฟรีค่าทางสายเกิน TC Approve Flag = Y
Passport ID : AC7790010
TMH No. : 0642270252</t>
  </si>
  <si>
    <t>Version Built : TOL 73.3 (862)
ตรวจสอบ Video นาทีที่ 0.23 เป็นต้นไป</t>
  </si>
  <si>
    <t>EXI_ONL_03</t>
  </si>
  <si>
    <t>Verify the screen when : 
 - Customer has Existing TMH number
 - Press 'เปิดเบอร์รายเดือนใหม่'</t>
  </si>
  <si>
    <t>1. Login One App
2. Press "ลงทะเบียนทรูออนไลน์" menu in the "บริการอื่นๆ" Category
3. Open GIS Web View and open oder on GIS Web View success
4. Select type :
     - Press : อินเทอร์เน็ต
     - Press : เบอร์มือถือ
5. Press รูปแบบการขาย ออนไลน์
6. Navigate to Customer ID Validation screen
     - Select card and Input Customer ID Same Location
7. Pass TOL Validation (NEW TOL)
8. Navigate to เลือกเบอร์ทรูมูฟ เอช  เพื่อเข้าร่วมคอนเวอร์เจนซ์ screen
    - Press 'เปิดเบอร์รายเดือนใหม่'</t>
  </si>
  <si>
    <t>- The system Display TMH number is correct Refer figma : 
https://www.figma.com/design/yjyoAP0EMDXJST790SY49T/ONE006-ONE-APP---TOL?node-id=2678-168056&amp;t=gmgAe4CrrorcgoGu-4
- When click 'เปิดเบอร์รายเดือนใหม่' system validate CUSTOMER ID VALIDATION FOR NEW TMH ONLY -  (2P/4POTT) Pass and navigate to Customer Self-Verification QR / Ref Code : STAFF SCREEN screen Refer figma : 
https://www.figma.com/design/yjyoAP0EMDXJST790SY49T/ONE006-ONE-APP---TOL?node-id=13800-83465&amp;t=gmgAe4CrrorcgoGu-4</t>
  </si>
  <si>
    <t>Version Built : TOL 73.3 (863)</t>
  </si>
  <si>
    <t>Version Built : 73.1.051116 (TOL-CICD) (308)</t>
  </si>
  <si>
    <t>EXI_ONL_04</t>
  </si>
  <si>
    <t>Verify the screen when : 
 - Customer has Existing TMH number Join CVG</t>
  </si>
  <si>
    <t>1. Login One App
2. Press "ลงทะเบียนทรูออนไลน์" menu in the "บริการอื่นๆ" Category
3. Open GIS Web View and open oder on GIS Web View success
4. Pass Select type (Select 2P / 4POTT)
5. Pass Customer ID Verification
6. Pass TOL Validation (NEW TOL)
7. Navigate to เลือกเบอร์ทรูมูฟ เอช  เพื่อเข้าร่วมคอนเวอร์เจนซ์ screen
  - Check information</t>
  </si>
  <si>
    <t>- The system not display TMH Number that Join CVG
Refer : https://www.figma.com/design/yjyoAP0EMDXJST790SY49T/ONE006-ONE-APP---TOL?node-id=2678-168080&amp;m</t>
  </si>
  <si>
    <t>Thai ID : 1598825879222
TOL No. : 9630012628
TMH: 0642270196</t>
  </si>
  <si>
    <t>EXI_ONL_05</t>
  </si>
  <si>
    <t xml:space="preserve">Verify the screen when : 
 - Customer has Existing TMH number Join Soft bundle </t>
  </si>
  <si>
    <t>- The system not display TMH Number that Join Soft bundle
Refer : https://www.figma.com/design/yjyoAP0EMDXJST790SY49T/ONE006-ONE-APP---TOL?node-id=2678-168080&amp;m</t>
  </si>
  <si>
    <t>Thai ID : 7674809339825
Name : เรวิทย์ สุขุมวิทยาพร
TMH#1 : 0642270272
SIM#1 : 896604452400008260
Address ID : 29211532
Order ID (4POTT) : 25091800DRS010020012
TOL : 9630012672
FLP : Dummy
TVS : 128843245
TMH#2 : 0642270273
SIM#2 : 896604452400008261
Value Bundle (FMC) : TMH_CVG200B
Soft Bundle TMH : 0642270272</t>
  </si>
  <si>
    <t>EXI_ONL_06</t>
  </si>
  <si>
    <t>Verify the screen when : 
  - Customer has Existing Number Dtac and True Status Active(Existing Not join CVG and Soft bundle)</t>
  </si>
  <si>
    <t>- The system display existing number of true and not display existing Number Dtac
Refer : https://www.figma.com/design/yjyoAP0EMDXJST790SY49T/ONE006-ONE-APP---TOL?node-id=2678-168080&amp;m</t>
  </si>
  <si>
    <r>
      <rPr>
        <sz val="10"/>
        <color rgb="FF000000"/>
        <rFont val="Tahoma"/>
      </rPr>
      <t xml:space="preserve">Thai ID : 1720900169224
Name : คุณ จิระพงษ์ พันธุ์เชย
DTAC : 0628347207  Suspend
DTAC : 66634094668 Active
TMH : 0642270236
SIM : 896604452400008228
</t>
    </r>
    <r>
      <rPr>
        <sz val="10"/>
        <color rgb="FF00B0F0"/>
        <rFont val="Tahoma"/>
      </rPr>
      <t>*Note กรณีเลือก 2P หรือ 4P เห็นแถบบัตรอืนๆ เนื่องจาก Config tolRegistration.isOtherCardTabOn = true</t>
    </r>
  </si>
  <si>
    <t>EXI_ONL_07</t>
  </si>
  <si>
    <t>Verify the screen when : 
  - Customer has Existing True (Customer has TMH Status suspended and Active)</t>
  </si>
  <si>
    <t>- The system display existing number of true status active and not display existing Number TMH status suspended
  -- Navigate to Existing TMH screen incase have existing TMH status Active
Refer : https://www.figma.com/design/yjyoAP0EMDXJST790SY49T/ONE006-ONE-APP---TOL?node-id=2678-168056&amp;m</t>
  </si>
  <si>
    <t>Thai ID : 3824120527384
Name : ชญานันท์ ทรัพย์สมบัติ
TMH (Active) : 0642270250, 0642277227
TMH (suspended): 0642270809</t>
  </si>
  <si>
    <t>EXI_ONL_08</t>
  </si>
  <si>
    <t>Verify the screen when : 
  - Customer has Existing Dtac Status suspended (Customer Not has TMH Status Active)</t>
  </si>
  <si>
    <t>1. Login One App
2. Press "ลงทะเบียนทรูออนไลน์" menu in the "บริการอื่นๆ" Category
3. Open GIS Web View and open oder on GIS Web View success
4. Pass Select type (Select 2P / 4POTT)
5. Pass Customer ID Verification
6. Pass TOL Validation (NEW TOL)
7. Call API tolGetTmhEligibility</t>
  </si>
  <si>
    <t>- Navigate to Customer Self-Verification QR / Ref Code : STAFF screen incase not have existing TMH status Active
Refer : https://www.figma.com/design/yjyoAP0EMDXJST790SY49T/ONE006-ONE-APP---TOL?node-id=13800-83465&amp;m</t>
  </si>
  <si>
    <t xml:space="preserve"> Dtac status Suspended 
 2724388859435 บัตรประชาชน
 นิชกานต์ เกียรติวิทยา
 Customer : 626188301
Suspended : 66661367525</t>
  </si>
  <si>
    <t>Summary</t>
  </si>
  <si>
    <t>Not Start</t>
  </si>
  <si>
    <t>Inprogress</t>
  </si>
  <si>
    <t>Skip</t>
  </si>
  <si>
    <t>Fail</t>
  </si>
  <si>
    <t>Pass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</si>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</sst>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u/>
      <sz val="10"/>
      <color theme="10"/>
      <name val="Arial"/>
      <family val="2"/>
      <scheme val="minor"/>
    </font>
    <font>
      <sz val="10"/>
      <name val="Tahoma"/>
      <family val="2"/>
    </font>
    <font>
      <b/>
      <sz val="10"/>
      <color theme="1"/>
      <name val="Tahoma"/>
      <family val="2"/>
    </font>
    <font>
      <sz val="10"/>
      <color rgb="FF000000"/>
      <name val="Arial"/>
      <family val="2"/>
      <scheme val="minor"/>
    </font>
    <font>
      <sz val="10"/>
      <color theme="1"/>
      <name val="Tahoma"/>
    </font>
    <font>
      <sz val="10"/>
      <color rgb="FF000000"/>
      <name val="Tahoma"/>
    </font>
    <font>
      <b/>
      <sz val="10"/>
      <color theme="1"/>
      <name val="Tahoma"/>
    </font>
    <font>
      <b/>
      <sz val="10"/>
      <name val="Tahoma"/>
    </font>
    <font>
      <u/>
      <sz val="10"/>
      <color theme="10"/>
      <name val="Tahoma"/>
    </font>
    <font>
      <sz val="10"/>
      <color theme="1"/>
      <name val="Arial"/>
      <scheme val="minor"/>
    </font>
    <font>
      <sz val="10"/>
      <color rgb="FF00B0F0"/>
      <name val="Tahoma"/>
    </font>
  </fonts>
  <fills count="1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39966"/>
        <bgColor rgb="FF33996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9">
    <xf numFmtId="0" fontId="0" fillId="0" borderId="0" xfId="0"/>
    <xf numFmtId="0" fontId="2" fillId="9" borderId="15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3" fillId="10" borderId="18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8" xfId="0" applyFont="1" applyBorder="1" applyAlignment="1">
      <alignment vertical="top"/>
    </xf>
    <xf numFmtId="0" fontId="1" fillId="0" borderId="8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6" xfId="0" applyFont="1" applyBorder="1"/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6" fillId="3" borderId="19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7" borderId="21" xfId="0" applyFont="1" applyFill="1" applyBorder="1" applyAlignment="1">
      <alignment horizontal="center" vertical="top" wrapText="1"/>
    </xf>
    <xf numFmtId="0" fontId="3" fillId="7" borderId="22" xfId="0" applyFont="1" applyFill="1" applyBorder="1" applyAlignment="1">
      <alignment horizontal="center" vertical="top" wrapText="1"/>
    </xf>
    <xf numFmtId="0" fontId="3" fillId="8" borderId="18" xfId="0" applyFont="1" applyFill="1" applyBorder="1" applyAlignment="1">
      <alignment horizontal="center" vertical="top" wrapText="1"/>
    </xf>
    <xf numFmtId="0" fontId="3" fillId="8" borderId="22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1" fillId="7" borderId="6" xfId="0" applyFont="1" applyFill="1" applyBorder="1" applyAlignment="1">
      <alignment horizontal="center" vertical="top" wrapText="1"/>
    </xf>
    <xf numFmtId="0" fontId="1" fillId="7" borderId="7" xfId="0" applyFont="1" applyFill="1" applyBorder="1" applyAlignment="1">
      <alignment horizontal="center" vertical="top" wrapText="1"/>
    </xf>
    <xf numFmtId="0" fontId="1" fillId="8" borderId="10" xfId="0" applyFont="1" applyFill="1" applyBorder="1" applyAlignment="1">
      <alignment horizontal="center" vertical="top" wrapText="1"/>
    </xf>
    <xf numFmtId="0" fontId="1" fillId="8" borderId="7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7" borderId="10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7" borderId="6" xfId="0" applyFont="1" applyFill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3" fillId="7" borderId="10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7" borderId="11" xfId="0" applyFont="1" applyFill="1" applyBorder="1" applyAlignment="1">
      <alignment horizontal="center" vertical="top" wrapText="1"/>
    </xf>
    <xf numFmtId="0" fontId="3" fillId="7" borderId="13" xfId="0" applyFont="1" applyFill="1" applyBorder="1" applyAlignment="1">
      <alignment horizontal="center" vertical="top" wrapText="1"/>
    </xf>
    <xf numFmtId="0" fontId="3" fillId="7" borderId="14" xfId="0" applyFont="1" applyFill="1" applyBorder="1" applyAlignment="1">
      <alignment horizontal="center" vertical="top" wrapText="1"/>
    </xf>
    <xf numFmtId="0" fontId="2" fillId="9" borderId="15" xfId="0" applyFont="1" applyFill="1" applyBorder="1"/>
    <xf numFmtId="0" fontId="1" fillId="0" borderId="10" xfId="0" quotePrefix="1" applyFont="1" applyBorder="1" applyAlignment="1">
      <alignment vertical="top" wrapText="1"/>
    </xf>
    <xf numFmtId="0" fontId="0" fillId="0" borderId="8" xfId="1" quotePrefix="1" applyFont="1" applyBorder="1" applyAlignment="1">
      <alignment vertical="top" wrapText="1"/>
    </xf>
    <xf numFmtId="0" fontId="7" fillId="0" borderId="8" xfId="1" quotePrefix="1" applyFont="1" applyBorder="1" applyAlignment="1">
      <alignment vertical="top" wrapText="1"/>
    </xf>
    <xf numFmtId="0" fontId="8" fillId="0" borderId="8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10" fontId="3" fillId="0" borderId="15" xfId="0" applyNumberFormat="1" applyFont="1" applyBorder="1" applyAlignment="1">
      <alignment horizontal="center"/>
    </xf>
    <xf numFmtId="0" fontId="11" fillId="11" borderId="1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12" fillId="0" borderId="8" xfId="1" applyFont="1" applyBorder="1" applyAlignment="1">
      <alignment horizontal="center" vertical="top"/>
    </xf>
    <xf numFmtId="0" fontId="13" fillId="0" borderId="18" xfId="1" applyFont="1" applyFill="1" applyBorder="1" applyAlignment="1">
      <alignment horizontal="left" vertical="top" wrapText="1"/>
    </xf>
    <xf numFmtId="0" fontId="8" fillId="0" borderId="18" xfId="1" applyFont="1" applyFill="1" applyBorder="1" applyAlignment="1">
      <alignment horizontal="left" vertical="top" wrapText="1"/>
    </xf>
    <xf numFmtId="0" fontId="12" fillId="0" borderId="29" xfId="1" applyFont="1" applyBorder="1" applyAlignment="1">
      <alignment horizontal="center" vertical="top"/>
    </xf>
    <xf numFmtId="0" fontId="9" fillId="0" borderId="10" xfId="0" applyFont="1" applyBorder="1" applyAlignment="1">
      <alignment vertical="top" wrapText="1"/>
    </xf>
    <xf numFmtId="0" fontId="9" fillId="0" borderId="30" xfId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/>
    <xf numFmtId="0" fontId="9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8" xfId="0" applyFont="1" applyBorder="1" applyAlignment="1">
      <alignment vertical="top" wrapText="1" readingOrder="1"/>
    </xf>
    <xf numFmtId="0" fontId="12" fillId="0" borderId="1" xfId="1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9" fillId="0" borderId="31" xfId="1" applyFont="1" applyBorder="1" applyAlignment="1">
      <alignment vertical="top" wrapText="1"/>
    </xf>
    <xf numFmtId="0" fontId="9" fillId="0" borderId="8" xfId="1" applyFont="1" applyBorder="1" applyAlignment="1">
      <alignment horizontal="center" vertical="top" wrapText="1"/>
    </xf>
    <xf numFmtId="0" fontId="5" fillId="0" borderId="27" xfId="0" applyFont="1" applyBorder="1" applyAlignment="1"/>
    <xf numFmtId="0" fontId="5" fillId="0" borderId="24" xfId="0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18" xfId="0" applyFont="1" applyBorder="1" applyAlignment="1"/>
    <xf numFmtId="0" fontId="5" fillId="0" borderId="15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447675</xdr:colOff>
      <xdr:row>27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9208F-2007-41A9-8DC3-43C18CC0FCB4}"/>
            </a:ext>
            <a:ext uri="{147F2762-F138-4A5C-976F-8EAC2B608ADB}">
              <a16:predDERef xmlns:a16="http://schemas.microsoft.com/office/drawing/2014/main" pred="{26FE263A-B2AB-5DB4-E683-863D4B68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10875" cy="449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uecorp.sharepoint.com/:f:/s/TrueCorp-TrueDtacTH-TotalAccessCommunicationPlc-TechM-Workingarea/IgCKbYedm34nSL4BitnzVjR3AY3o8J4n_54uOamFcUfuoRY?e=b4diS1" TargetMode="External"/><Relationship Id="rId13" Type="http://schemas.openxmlformats.org/officeDocument/2006/relationships/hyperlink" Target="https://truecorp.sharepoint.com/:f:/s/TrueCorp-TrueDtacTH-TotalAccessCommunicationPlc-TechM-Workingarea/IgAurfOnTwmfRqKFNp-AD_Q2AbjHIgomDogqXRJ8oAuhjsc?e=quEb75" TargetMode="External"/><Relationship Id="rId3" Type="http://schemas.openxmlformats.org/officeDocument/2006/relationships/hyperlink" Target="https://truecorp.sharepoint.com/:f:/s/TrueCorp-TrueDtacTH-TotalAccessCommunicationPlc-TechM-Workingarea/IgDSL8keltW_SLJ8jW6MMeNgAb19ivxHBv4jIxk9rVrWWwY?e=i1w0r6" TargetMode="External"/><Relationship Id="rId7" Type="http://schemas.openxmlformats.org/officeDocument/2006/relationships/hyperlink" Target="https://truecorp.sharepoint.com/:f:/s/TrueCorp-TrueDtacTH-TotalAccessCommunicationPlc-TechM-Workingarea/IgC-bCf1WqAyRa5xQ2V01w-pAR4E_N6Gvr8bPCxsvGvIZVw?e=GF0kRc" TargetMode="External"/><Relationship Id="rId12" Type="http://schemas.openxmlformats.org/officeDocument/2006/relationships/hyperlink" Target="https://truecorp.sharepoint.com/:f:/s/TrueCorp-TrueDtacTH-TotalAccessCommunicationPlc-TechM-Workingarea/IgAgpLJ7Wd-uQLvdP72W_zEiAdf2GqEcCEvFw6Ap_MlEXlo?e=idnNrz" TargetMode="External"/><Relationship Id="rId2" Type="http://schemas.openxmlformats.org/officeDocument/2006/relationships/hyperlink" Target="https://truecorp.sharepoint.com/:f:/s/TrueCorp-TrueDtacTH-TotalAccessCommunicationPlc-TechM-Workingarea/IgDDsiWeJJBPR7_i72xpcEBBAfcyUU94ET32pWQhIH28i1I?e=upHnGi" TargetMode="External"/><Relationship Id="rId16" Type="http://schemas.openxmlformats.org/officeDocument/2006/relationships/hyperlink" Target="https://truecorp.sharepoint.com/:f:/s/TrueCorp-TrueDtacTH-TotalAccessCommunicationPlc-TechM-Workingarea/IgDdqvS_L-1yRJscGcSzMLHEAX-klE6A-OxpKb0tJB5HCho?e=hexBrT" TargetMode="External"/><Relationship Id="rId1" Type="http://schemas.openxmlformats.org/officeDocument/2006/relationships/hyperlink" Target="https://truecorp.sharepoint.com/:f:/s/TrueCorp-TrueDtacTH-TotalAccessCommunicationPlc-TechM-Workingarea/IgC-lc6L_A9HQJgilpXX74DOAc36n0Ad_5-eMSA6_C0E_qE?e=gxcjkl" TargetMode="External"/><Relationship Id="rId6" Type="http://schemas.openxmlformats.org/officeDocument/2006/relationships/hyperlink" Target="https://truecorp.sharepoint.com/:f:/s/TrueCorp-TrueDtacTH-TotalAccessCommunicationPlc-TechM-Workingarea/IgCFXZPj1WOoQ6buQp3uApAnAYqaBl3RV44WZo9fgojl1yg?e=VTqOlJ" TargetMode="External"/><Relationship Id="rId11" Type="http://schemas.openxmlformats.org/officeDocument/2006/relationships/hyperlink" Target="https://truecorp.sharepoint.com/:f:/s/TrueCorp-TrueDtacTH-TotalAccessCommunicationPlc-TechM-Workingarea/IgAFIgmCmieaRKeVU5sbssQGATQOwGQGsZUXXEPbH62I818?e=JBBmdt" TargetMode="External"/><Relationship Id="rId5" Type="http://schemas.openxmlformats.org/officeDocument/2006/relationships/hyperlink" Target="https://truecorp.sharepoint.com/:f:/s/TrueCorp-TrueDtacTH-TotalAccessCommunicationPlc-TechM-Workingarea/IgBEiJEFJW3qRrf4tbP-RPFOAXdtrowG6yJDke9rUvuSEVE?e=PLaUp3" TargetMode="External"/><Relationship Id="rId15" Type="http://schemas.openxmlformats.org/officeDocument/2006/relationships/hyperlink" Target="https://truecorp.sharepoint.com/:f:/s/TrueCorp-TrueDtacTH-TotalAccessCommunicationPlc-TechM-Workingarea/IgD7xXb8FoGYTqXXc3VrgnADAUNRs8FQdMzkE4BDg1FH208?e=g8Wneb" TargetMode="External"/><Relationship Id="rId10" Type="http://schemas.openxmlformats.org/officeDocument/2006/relationships/hyperlink" Target="https://truecorp.sharepoint.com/:f:/s/TrueCorp-TrueDtacTH-TotalAccessCommunicationPlc-TechM-Workingarea/IgBvLFgmw6mRQKu637Q-4DlUAeuGuJ4AiQdRXZQD0nKkJeo?e=mX8aZ5" TargetMode="External"/><Relationship Id="rId4" Type="http://schemas.openxmlformats.org/officeDocument/2006/relationships/hyperlink" Target="https://truecorp.sharepoint.com/:f:/s/TrueCorp-TrueDtacTH-TotalAccessCommunicationPlc-TechM-Workingarea/IgBLpmkn1GrcR433hHwAO7pMAZVXtzRSCpoY3pVnaDhD7CE?e=BBfeiX" TargetMode="External"/><Relationship Id="rId9" Type="http://schemas.openxmlformats.org/officeDocument/2006/relationships/hyperlink" Target="https://truecorp.sharepoint.com/:f:/s/TrueCorp-TrueDtacTH-TotalAccessCommunicationPlc-TechM-Workingarea/IgCzffDkUMUbTIEp69Qf14zYAYmjYnh1YJcaZMhbWHZ9PDE?e=xkPtQ1" TargetMode="External"/><Relationship Id="rId14" Type="http://schemas.openxmlformats.org/officeDocument/2006/relationships/hyperlink" Target="https://truecorp.sharepoint.com/:f:/s/TrueCorp-TrueDtacTH-TotalAccessCommunicationPlc-TechM-Workingarea/IgBEOBRX46PySqP6y4paPsGCAdUFdrprrhte5V3Spz9J4QQ?e=mFmw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A738-AA53-43A3-89C3-35E8E4855630}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</sheetPr>
  <dimension ref="A1:AN1002"/>
  <sheetViews>
    <sheetView tabSelected="1" workbookViewId="0">
      <pane xSplit="10" topLeftCell="T7" activePane="topRight" state="frozen"/>
      <selection pane="topRight" activeCell="E8" sqref="E8"/>
      <selection activeCell="A3" sqref="A3"/>
    </sheetView>
  </sheetViews>
  <sheetFormatPr defaultColWidth="12.5703125" defaultRowHeight="15" customHeight="1"/>
  <cols>
    <col min="1" max="1" width="17.42578125" style="2" hidden="1" customWidth="1"/>
    <col min="2" max="2" width="17.85546875" style="2" hidden="1" customWidth="1"/>
    <col min="3" max="3" width="20" style="2" hidden="1" customWidth="1"/>
    <col min="4" max="4" width="9.42578125" style="2" customWidth="1"/>
    <col min="5" max="5" width="20" style="2" customWidth="1"/>
    <col min="6" max="6" width="10.28515625" style="2" customWidth="1"/>
    <col min="7" max="8" width="20" style="2" customWidth="1"/>
    <col min="9" max="9" width="36.7109375" style="2" customWidth="1"/>
    <col min="10" max="10" width="11.42578125" style="2" customWidth="1"/>
    <col min="11" max="11" width="5.85546875" style="2" customWidth="1"/>
    <col min="12" max="12" width="5.42578125" style="2" customWidth="1"/>
    <col min="13" max="13" width="8.140625" style="2" customWidth="1"/>
    <col min="14" max="14" width="7" style="2" customWidth="1"/>
    <col min="15" max="15" width="7.42578125" style="2" customWidth="1"/>
    <col min="16" max="16" width="7.85546875" style="2" customWidth="1"/>
    <col min="17" max="17" width="6.5703125" style="2" customWidth="1"/>
    <col min="18" max="18" width="6" style="2" customWidth="1"/>
    <col min="19" max="19" width="53.85546875" style="2" hidden="1" customWidth="1"/>
    <col min="20" max="20" width="65.140625" style="2" customWidth="1"/>
    <col min="21" max="21" width="16.42578125" style="2" customWidth="1"/>
    <col min="22" max="22" width="19.85546875" style="2" customWidth="1"/>
    <col min="23" max="24" width="12.5703125" style="2"/>
    <col min="25" max="25" width="36.140625" style="2" customWidth="1"/>
    <col min="26" max="26" width="11.28515625" style="2" customWidth="1"/>
    <col min="27" max="16384" width="12.5703125" style="2"/>
  </cols>
  <sheetData>
    <row r="1" spans="1:40" ht="46.5" customHeight="1">
      <c r="A1" s="81" t="s">
        <v>0</v>
      </c>
      <c r="B1" s="81" t="s">
        <v>1</v>
      </c>
      <c r="C1" s="81" t="s">
        <v>2</v>
      </c>
      <c r="D1" s="90" t="s">
        <v>3</v>
      </c>
      <c r="E1" s="90"/>
      <c r="F1" s="90" t="s">
        <v>4</v>
      </c>
      <c r="G1" s="90"/>
      <c r="H1" s="81" t="s">
        <v>5</v>
      </c>
      <c r="I1" s="81" t="s">
        <v>6</v>
      </c>
      <c r="J1" s="82" t="s">
        <v>7</v>
      </c>
      <c r="K1" s="83" t="s">
        <v>8</v>
      </c>
      <c r="L1" s="93"/>
      <c r="M1" s="84" t="s">
        <v>9</v>
      </c>
      <c r="N1" s="93"/>
      <c r="O1" s="85" t="s">
        <v>10</v>
      </c>
      <c r="P1" s="94"/>
      <c r="Q1" s="86" t="s">
        <v>11</v>
      </c>
      <c r="R1" s="94"/>
      <c r="S1" s="87" t="s">
        <v>12</v>
      </c>
      <c r="T1" s="81" t="s">
        <v>13</v>
      </c>
      <c r="U1" s="81" t="s">
        <v>14</v>
      </c>
      <c r="V1" s="81" t="s">
        <v>15</v>
      </c>
      <c r="W1" s="88" t="s">
        <v>16</v>
      </c>
      <c r="X1" s="88" t="s">
        <v>17</v>
      </c>
      <c r="Y1" s="81" t="s">
        <v>18</v>
      </c>
      <c r="Z1" s="81" t="s">
        <v>19</v>
      </c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46.5" customHeight="1">
      <c r="A2" s="95"/>
      <c r="B2" s="95"/>
      <c r="C2" s="95"/>
      <c r="D2" s="64" t="s">
        <v>20</v>
      </c>
      <c r="E2" s="64" t="s">
        <v>21</v>
      </c>
      <c r="F2" s="64" t="s">
        <v>20</v>
      </c>
      <c r="G2" s="64" t="s">
        <v>21</v>
      </c>
      <c r="H2" s="95"/>
      <c r="I2" s="95"/>
      <c r="J2" s="96"/>
      <c r="K2" s="20" t="b">
        <v>1</v>
      </c>
      <c r="L2" s="21" t="s">
        <v>22</v>
      </c>
      <c r="M2" s="22" t="s">
        <v>23</v>
      </c>
      <c r="N2" s="23" t="s">
        <v>24</v>
      </c>
      <c r="O2" s="24" t="s">
        <v>25</v>
      </c>
      <c r="P2" s="25" t="s">
        <v>26</v>
      </c>
      <c r="Q2" s="26" t="s">
        <v>27</v>
      </c>
      <c r="R2" s="27" t="s">
        <v>28</v>
      </c>
      <c r="S2" s="97"/>
      <c r="T2" s="95"/>
      <c r="U2" s="95"/>
      <c r="V2" s="95"/>
      <c r="W2" s="98"/>
      <c r="X2" s="98"/>
      <c r="Y2" s="89"/>
      <c r="Z2" s="95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17.75" customHeight="1">
      <c r="A3" s="10" t="s">
        <v>29</v>
      </c>
      <c r="B3" s="59" t="s">
        <v>30</v>
      </c>
      <c r="C3" s="66" t="s">
        <v>31</v>
      </c>
      <c r="D3" s="67" t="s">
        <v>32</v>
      </c>
      <c r="E3" s="72" t="s">
        <v>33</v>
      </c>
      <c r="F3" s="67" t="s">
        <v>34</v>
      </c>
      <c r="G3" s="71" t="s">
        <v>35</v>
      </c>
      <c r="H3" s="59" t="s">
        <v>36</v>
      </c>
      <c r="I3" s="12" t="s">
        <v>37</v>
      </c>
      <c r="J3" s="28" t="s">
        <v>38</v>
      </c>
      <c r="K3" s="29" t="s">
        <v>39</v>
      </c>
      <c r="L3" s="30"/>
      <c r="M3" s="29" t="s">
        <v>39</v>
      </c>
      <c r="N3" s="30"/>
      <c r="O3" s="31"/>
      <c r="P3" s="32"/>
      <c r="Q3" s="33"/>
      <c r="R3" s="34" t="s">
        <v>39</v>
      </c>
      <c r="S3" s="35" t="s">
        <v>40</v>
      </c>
      <c r="T3" s="56" t="s">
        <v>41</v>
      </c>
      <c r="U3" s="11" t="s">
        <v>42</v>
      </c>
      <c r="V3" s="11" t="s">
        <v>43</v>
      </c>
      <c r="W3" s="65" t="s">
        <v>44</v>
      </c>
      <c r="X3" s="65" t="s">
        <v>44</v>
      </c>
      <c r="Y3" s="68" t="s">
        <v>45</v>
      </c>
      <c r="Z3" s="36" t="s">
        <v>46</v>
      </c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1:40" ht="129.75" customHeight="1">
      <c r="A4" s="10" t="s">
        <v>29</v>
      </c>
      <c r="B4" s="59" t="s">
        <v>30</v>
      </c>
      <c r="C4" s="66" t="s">
        <v>31</v>
      </c>
      <c r="D4" s="70" t="s">
        <v>32</v>
      </c>
      <c r="E4" s="72" t="s">
        <v>47</v>
      </c>
      <c r="F4" s="70" t="s">
        <v>34</v>
      </c>
      <c r="G4" s="71" t="s">
        <v>48</v>
      </c>
      <c r="H4" s="59" t="s">
        <v>49</v>
      </c>
      <c r="I4" s="12" t="s">
        <v>50</v>
      </c>
      <c r="J4" s="28" t="s">
        <v>38</v>
      </c>
      <c r="K4" s="37" t="s">
        <v>39</v>
      </c>
      <c r="L4" s="28"/>
      <c r="M4" s="14"/>
      <c r="N4" s="28" t="s">
        <v>39</v>
      </c>
      <c r="O4" s="38"/>
      <c r="P4" s="39"/>
      <c r="Q4" s="40" t="s">
        <v>39</v>
      </c>
      <c r="R4" s="41"/>
      <c r="S4" s="35" t="s">
        <v>51</v>
      </c>
      <c r="T4" s="58" t="s">
        <v>52</v>
      </c>
      <c r="U4" s="11" t="s">
        <v>42</v>
      </c>
      <c r="V4" s="11" t="s">
        <v>43</v>
      </c>
      <c r="W4" s="65" t="s">
        <v>44</v>
      </c>
      <c r="X4" s="65" t="s">
        <v>44</v>
      </c>
      <c r="Y4" s="69" t="s">
        <v>53</v>
      </c>
      <c r="Z4" s="36" t="s">
        <v>46</v>
      </c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spans="1:40" ht="129.75" customHeight="1">
      <c r="A5" s="10" t="s">
        <v>29</v>
      </c>
      <c r="B5" s="59" t="s">
        <v>30</v>
      </c>
      <c r="C5" s="66" t="s">
        <v>31</v>
      </c>
      <c r="D5" s="80" t="s">
        <v>32</v>
      </c>
      <c r="E5" s="72" t="s">
        <v>54</v>
      </c>
      <c r="F5" s="80" t="s">
        <v>34</v>
      </c>
      <c r="G5" s="71" t="s">
        <v>48</v>
      </c>
      <c r="H5" s="59" t="s">
        <v>55</v>
      </c>
      <c r="I5" s="12" t="s">
        <v>56</v>
      </c>
      <c r="J5" s="28" t="s">
        <v>38</v>
      </c>
      <c r="K5" s="37" t="s">
        <v>39</v>
      </c>
      <c r="L5" s="28"/>
      <c r="M5" s="14"/>
      <c r="N5" s="28" t="s">
        <v>39</v>
      </c>
      <c r="O5" s="38"/>
      <c r="P5" s="39"/>
      <c r="Q5" s="40"/>
      <c r="R5" s="41" t="s">
        <v>39</v>
      </c>
      <c r="S5" s="35" t="s">
        <v>57</v>
      </c>
      <c r="T5" s="57" t="s">
        <v>58</v>
      </c>
      <c r="U5" s="11" t="s">
        <v>42</v>
      </c>
      <c r="V5" s="11" t="s">
        <v>43</v>
      </c>
      <c r="W5" s="65" t="s">
        <v>44</v>
      </c>
      <c r="X5" s="65" t="s">
        <v>44</v>
      </c>
      <c r="Y5" s="69" t="s">
        <v>53</v>
      </c>
      <c r="Z5" s="36" t="s">
        <v>46</v>
      </c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ht="54.6" customHeight="1">
      <c r="A6" s="10" t="s">
        <v>29</v>
      </c>
      <c r="B6" s="59" t="s">
        <v>30</v>
      </c>
      <c r="C6" s="66" t="s">
        <v>31</v>
      </c>
      <c r="D6" s="80" t="s">
        <v>32</v>
      </c>
      <c r="E6" s="91" t="s">
        <v>59</v>
      </c>
      <c r="F6" s="80" t="s">
        <v>34</v>
      </c>
      <c r="G6" s="72" t="s">
        <v>60</v>
      </c>
      <c r="H6" s="59" t="s">
        <v>61</v>
      </c>
      <c r="I6" s="12" t="s">
        <v>62</v>
      </c>
      <c r="J6" s="42" t="s">
        <v>38</v>
      </c>
      <c r="K6" s="37" t="s">
        <v>39</v>
      </c>
      <c r="L6" s="28"/>
      <c r="M6" s="37"/>
      <c r="N6" s="28" t="s">
        <v>39</v>
      </c>
      <c r="O6" s="37" t="s">
        <v>39</v>
      </c>
      <c r="P6" s="43"/>
      <c r="Q6" s="44"/>
      <c r="R6" s="39"/>
      <c r="S6" s="35" t="s">
        <v>63</v>
      </c>
      <c r="T6" s="12" t="s">
        <v>64</v>
      </c>
      <c r="U6" s="11" t="s">
        <v>42</v>
      </c>
      <c r="V6" s="11" t="s">
        <v>43</v>
      </c>
      <c r="W6" s="65" t="s">
        <v>44</v>
      </c>
      <c r="X6" s="65" t="s">
        <v>44</v>
      </c>
      <c r="Y6" s="12" t="s">
        <v>65</v>
      </c>
      <c r="Z6" s="36" t="s">
        <v>46</v>
      </c>
      <c r="AA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ht="174.75" customHeight="1">
      <c r="A7" s="10" t="s">
        <v>29</v>
      </c>
      <c r="B7" s="59" t="s">
        <v>30</v>
      </c>
      <c r="C7" s="66" t="s">
        <v>31</v>
      </c>
      <c r="D7" s="67" t="s">
        <v>32</v>
      </c>
      <c r="E7" s="92" t="s">
        <v>59</v>
      </c>
      <c r="F7" s="67" t="s">
        <v>34</v>
      </c>
      <c r="G7" s="72" t="s">
        <v>60</v>
      </c>
      <c r="H7" s="59" t="s">
        <v>66</v>
      </c>
      <c r="I7" s="12" t="s">
        <v>67</v>
      </c>
      <c r="J7" s="42" t="s">
        <v>38</v>
      </c>
      <c r="K7" s="37" t="s">
        <v>39</v>
      </c>
      <c r="L7" s="28"/>
      <c r="M7" s="37"/>
      <c r="N7" s="28" t="s">
        <v>39</v>
      </c>
      <c r="O7" s="37"/>
      <c r="P7" s="43" t="s">
        <v>39</v>
      </c>
      <c r="Q7" s="44"/>
      <c r="R7" s="39"/>
      <c r="S7" s="35" t="s">
        <v>63</v>
      </c>
      <c r="T7" s="12" t="s">
        <v>68</v>
      </c>
      <c r="U7" s="11" t="s">
        <v>42</v>
      </c>
      <c r="V7" s="11" t="s">
        <v>43</v>
      </c>
      <c r="W7" s="65" t="s">
        <v>44</v>
      </c>
      <c r="X7" s="65" t="s">
        <v>44</v>
      </c>
      <c r="Y7" s="79" t="s">
        <v>69</v>
      </c>
      <c r="Z7" s="36" t="s">
        <v>46</v>
      </c>
      <c r="AA7" s="13"/>
      <c r="AB7" s="7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ht="135.75" customHeight="1">
      <c r="A8" s="10" t="s">
        <v>29</v>
      </c>
      <c r="B8" s="59" t="s">
        <v>30</v>
      </c>
      <c r="C8" s="66" t="s">
        <v>31</v>
      </c>
      <c r="D8" s="67" t="s">
        <v>32</v>
      </c>
      <c r="E8" s="92" t="s">
        <v>59</v>
      </c>
      <c r="F8" s="67" t="s">
        <v>34</v>
      </c>
      <c r="G8" s="72" t="s">
        <v>60</v>
      </c>
      <c r="H8" s="59" t="s">
        <v>70</v>
      </c>
      <c r="I8" s="12" t="s">
        <v>71</v>
      </c>
      <c r="J8" s="28" t="s">
        <v>38</v>
      </c>
      <c r="K8" s="37" t="s">
        <v>39</v>
      </c>
      <c r="L8" s="28" t="s">
        <v>39</v>
      </c>
      <c r="M8" s="37"/>
      <c r="N8" s="28" t="s">
        <v>39</v>
      </c>
      <c r="O8" s="38"/>
      <c r="P8" s="39"/>
      <c r="Q8" s="44"/>
      <c r="R8" s="39"/>
      <c r="S8" s="35" t="s">
        <v>63</v>
      </c>
      <c r="T8" s="12" t="s">
        <v>72</v>
      </c>
      <c r="U8" s="11" t="s">
        <v>42</v>
      </c>
      <c r="V8" s="11" t="s">
        <v>43</v>
      </c>
      <c r="W8" s="65" t="s">
        <v>44</v>
      </c>
      <c r="X8" s="65" t="s">
        <v>44</v>
      </c>
      <c r="Y8" s="79" t="s">
        <v>73</v>
      </c>
      <c r="Z8" s="74" t="s">
        <v>46</v>
      </c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ht="72.599999999999994" customHeight="1">
      <c r="A9" s="15" t="s">
        <v>29</v>
      </c>
      <c r="B9" s="59" t="s">
        <v>30</v>
      </c>
      <c r="C9" s="66" t="s">
        <v>31</v>
      </c>
      <c r="D9" s="67" t="s">
        <v>32</v>
      </c>
      <c r="E9" s="92" t="s">
        <v>59</v>
      </c>
      <c r="F9" s="67" t="s">
        <v>34</v>
      </c>
      <c r="G9" s="72" t="s">
        <v>60</v>
      </c>
      <c r="H9" s="59" t="s">
        <v>74</v>
      </c>
      <c r="I9" s="16" t="s">
        <v>75</v>
      </c>
      <c r="J9" s="42" t="s">
        <v>38</v>
      </c>
      <c r="K9" s="45" t="s">
        <v>39</v>
      </c>
      <c r="L9" s="42"/>
      <c r="M9" s="45"/>
      <c r="N9" s="42" t="s">
        <v>39</v>
      </c>
      <c r="O9" s="46"/>
      <c r="P9" s="47"/>
      <c r="Q9" s="48"/>
      <c r="R9" s="47"/>
      <c r="S9" s="49" t="s">
        <v>63</v>
      </c>
      <c r="T9" s="16" t="s">
        <v>76</v>
      </c>
      <c r="U9" s="16" t="s">
        <v>42</v>
      </c>
      <c r="V9" s="11" t="s">
        <v>43</v>
      </c>
      <c r="W9" s="65" t="s">
        <v>44</v>
      </c>
      <c r="X9" s="65" t="s">
        <v>44</v>
      </c>
      <c r="Y9" s="78" t="s">
        <v>77</v>
      </c>
      <c r="Z9" s="75" t="s">
        <v>46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</row>
    <row r="10" spans="1:40" ht="76.5" customHeight="1">
      <c r="A10" s="15" t="s">
        <v>29</v>
      </c>
      <c r="B10" s="59" t="s">
        <v>30</v>
      </c>
      <c r="C10" s="66" t="s">
        <v>31</v>
      </c>
      <c r="D10" s="67" t="s">
        <v>32</v>
      </c>
      <c r="E10" s="92" t="s">
        <v>59</v>
      </c>
      <c r="F10" s="67" t="s">
        <v>34</v>
      </c>
      <c r="G10" s="72" t="s">
        <v>60</v>
      </c>
      <c r="H10" s="59" t="s">
        <v>78</v>
      </c>
      <c r="I10" s="16" t="s">
        <v>79</v>
      </c>
      <c r="J10" s="42" t="s">
        <v>38</v>
      </c>
      <c r="K10" s="50"/>
      <c r="L10" s="51" t="s">
        <v>39</v>
      </c>
      <c r="M10" s="50" t="s">
        <v>39</v>
      </c>
      <c r="N10" s="51"/>
      <c r="O10" s="52"/>
      <c r="P10" s="53"/>
      <c r="Q10" s="54"/>
      <c r="R10" s="53"/>
      <c r="S10" s="49" t="s">
        <v>80</v>
      </c>
      <c r="T10" s="16" t="s">
        <v>81</v>
      </c>
      <c r="U10" s="16" t="s">
        <v>42</v>
      </c>
      <c r="V10" s="11" t="s">
        <v>43</v>
      </c>
      <c r="W10" s="65" t="s">
        <v>44</v>
      </c>
      <c r="X10" s="65" t="s">
        <v>44</v>
      </c>
      <c r="Y10" s="77" t="s">
        <v>82</v>
      </c>
      <c r="Z10" s="75" t="s">
        <v>46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</row>
    <row r="11" spans="1:40" ht="15.75" customHeight="1">
      <c r="A11" s="18"/>
      <c r="D11" s="76"/>
      <c r="E11" s="76"/>
      <c r="F11" s="76"/>
      <c r="J11" s="18"/>
      <c r="K11" s="19"/>
      <c r="L11" s="19"/>
      <c r="M11" s="19"/>
      <c r="N11" s="19"/>
      <c r="O11" s="19"/>
      <c r="P11" s="19"/>
      <c r="Q11" s="19"/>
      <c r="R11" s="19"/>
      <c r="Y11" s="76"/>
    </row>
    <row r="12" spans="1:40" ht="15.75" customHeight="1">
      <c r="A12" s="18"/>
      <c r="J12" s="18"/>
      <c r="K12" s="18"/>
      <c r="L12" s="18"/>
      <c r="M12" s="18"/>
      <c r="N12" s="18"/>
      <c r="O12" s="18"/>
      <c r="P12" s="18"/>
      <c r="Q12" s="18"/>
      <c r="R12" s="18"/>
      <c r="V12" s="55" t="s">
        <v>83</v>
      </c>
      <c r="W12" s="1"/>
      <c r="X12" s="1"/>
      <c r="Y12" s="1"/>
    </row>
    <row r="13" spans="1:40" ht="15.75" customHeight="1">
      <c r="A13" s="18"/>
      <c r="K13" s="18"/>
      <c r="L13" s="18"/>
      <c r="M13" s="18"/>
      <c r="N13" s="18"/>
      <c r="O13" s="18"/>
      <c r="P13" s="18"/>
      <c r="Q13" s="18"/>
      <c r="R13" s="18"/>
      <c r="W13" s="3"/>
      <c r="X13" s="3"/>
      <c r="Y13" s="3"/>
    </row>
    <row r="14" spans="1:40" ht="15.75" customHeight="1">
      <c r="A14" s="18"/>
      <c r="K14" s="18"/>
      <c r="L14" s="18"/>
      <c r="M14" s="18"/>
      <c r="N14" s="18"/>
      <c r="O14" s="18"/>
      <c r="P14" s="18"/>
      <c r="Q14" s="18"/>
      <c r="R14" s="18"/>
      <c r="W14" s="4" t="s">
        <v>32</v>
      </c>
      <c r="X14" s="4" t="s">
        <v>34</v>
      </c>
      <c r="Y14" s="60"/>
    </row>
    <row r="15" spans="1:40" ht="15.75" customHeight="1">
      <c r="A15" s="18"/>
      <c r="K15" s="18"/>
      <c r="L15" s="18"/>
      <c r="M15" s="18"/>
      <c r="N15" s="18"/>
      <c r="O15" s="18"/>
      <c r="P15" s="18"/>
      <c r="Q15" s="18"/>
      <c r="R15" s="18"/>
      <c r="V15" s="5" t="s">
        <v>84</v>
      </c>
      <c r="W15" s="7">
        <f>COUNTIF(W3:W10,"Not Start")</f>
        <v>0</v>
      </c>
      <c r="X15" s="7">
        <f>COUNTIF(X3:X10,"Not Start")</f>
        <v>0</v>
      </c>
      <c r="Y15" s="61"/>
    </row>
    <row r="16" spans="1:40" ht="15.75" customHeight="1">
      <c r="A16" s="18"/>
      <c r="K16" s="18"/>
      <c r="L16" s="18"/>
      <c r="M16" s="18"/>
      <c r="N16" s="18"/>
      <c r="O16" s="18"/>
      <c r="P16" s="18"/>
      <c r="Q16" s="18"/>
      <c r="R16" s="18"/>
      <c r="V16" s="5" t="s">
        <v>85</v>
      </c>
      <c r="W16" s="7">
        <f>COUNTIF(W3:W10,"Inprogress")</f>
        <v>0</v>
      </c>
      <c r="X16" s="7">
        <f>COUNTIF(X3:X10,"Inprogress")</f>
        <v>0</v>
      </c>
      <c r="Y16" s="61"/>
    </row>
    <row r="17" spans="1:25" ht="15.75" customHeight="1">
      <c r="A17" s="18"/>
      <c r="K17" s="18"/>
      <c r="L17" s="18"/>
      <c r="M17" s="18"/>
      <c r="N17" s="18"/>
      <c r="O17" s="18"/>
      <c r="P17" s="18"/>
      <c r="Q17" s="18"/>
      <c r="R17" s="18"/>
      <c r="V17" s="5" t="s">
        <v>86</v>
      </c>
      <c r="W17" s="7">
        <f>COUNTIF(W3:W10,"Skip")</f>
        <v>0</v>
      </c>
      <c r="X17" s="7">
        <f>COUNTIF(X3:X10,"Skip")</f>
        <v>0</v>
      </c>
      <c r="Y17" s="61"/>
    </row>
    <row r="18" spans="1:25" ht="15.75" customHeight="1">
      <c r="A18" s="18"/>
      <c r="K18" s="18"/>
      <c r="L18" s="18"/>
      <c r="M18" s="18"/>
      <c r="N18" s="18"/>
      <c r="O18" s="18"/>
      <c r="P18" s="18"/>
      <c r="Q18" s="18"/>
      <c r="R18" s="18"/>
      <c r="V18" s="5" t="s">
        <v>87</v>
      </c>
      <c r="W18" s="7">
        <f>COUNTIF(W3:W10,"Failed")</f>
        <v>0</v>
      </c>
      <c r="X18" s="7">
        <f>COUNTIF(X3:X10,"Failed")</f>
        <v>0</v>
      </c>
      <c r="Y18" s="61"/>
    </row>
    <row r="19" spans="1:25" ht="15.75" customHeight="1">
      <c r="A19" s="18"/>
      <c r="K19" s="18"/>
      <c r="L19" s="18"/>
      <c r="M19" s="18"/>
      <c r="N19" s="18"/>
      <c r="O19" s="18"/>
      <c r="P19" s="18"/>
      <c r="Q19" s="18"/>
      <c r="R19" s="18"/>
      <c r="V19" s="5" t="s">
        <v>88</v>
      </c>
      <c r="W19" s="6">
        <f>COUNTIF(W3:W10,"Passed")</f>
        <v>8</v>
      </c>
      <c r="X19" s="6">
        <f>COUNTIF(X3:X10,"Passed")</f>
        <v>8</v>
      </c>
      <c r="Y19" s="62"/>
    </row>
    <row r="20" spans="1:25" ht="15.75" customHeight="1">
      <c r="A20" s="18"/>
      <c r="K20" s="18"/>
      <c r="L20" s="18"/>
      <c r="M20" s="18"/>
      <c r="N20" s="18"/>
      <c r="O20" s="18"/>
      <c r="P20" s="18"/>
      <c r="Q20" s="18"/>
      <c r="R20" s="18"/>
    </row>
    <row r="21" spans="1:25" ht="15.75" customHeight="1">
      <c r="A21" s="18"/>
      <c r="K21" s="18"/>
      <c r="L21" s="18"/>
      <c r="M21" s="18"/>
      <c r="N21" s="18"/>
      <c r="O21" s="18"/>
      <c r="P21" s="18"/>
      <c r="Q21" s="18"/>
      <c r="R21" s="18"/>
      <c r="W21" s="4" t="s">
        <v>32</v>
      </c>
      <c r="X21" s="4" t="s">
        <v>34</v>
      </c>
      <c r="Y21" s="60"/>
    </row>
    <row r="22" spans="1:25" ht="15.75" customHeight="1">
      <c r="A22" s="18"/>
      <c r="K22" s="18"/>
      <c r="L22" s="18"/>
      <c r="M22" s="18"/>
      <c r="N22" s="18"/>
      <c r="O22" s="18"/>
      <c r="P22" s="18"/>
      <c r="Q22" s="18"/>
      <c r="R22" s="18"/>
      <c r="V22" s="5" t="s">
        <v>89</v>
      </c>
      <c r="W22" s="8">
        <f t="shared" ref="W22:X22" si="0">W19/(W19+W15+W16+W18)</f>
        <v>1</v>
      </c>
      <c r="X22" s="8">
        <f t="shared" si="0"/>
        <v>1</v>
      </c>
      <c r="Y22" s="63"/>
    </row>
    <row r="23" spans="1:25" ht="15.75" customHeight="1">
      <c r="A23" s="18"/>
      <c r="K23" s="18"/>
      <c r="L23" s="18"/>
      <c r="M23" s="18"/>
      <c r="N23" s="18"/>
      <c r="O23" s="18"/>
      <c r="P23" s="18"/>
      <c r="Q23" s="18"/>
      <c r="R23" s="18"/>
    </row>
    <row r="24" spans="1:25" ht="15.75" customHeight="1">
      <c r="A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25" ht="15.75" customHeight="1">
      <c r="A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25" ht="15.75" customHeight="1">
      <c r="A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25" ht="15.75" customHeight="1">
      <c r="A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25" ht="15.75" customHeight="1">
      <c r="A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25" ht="15.75" customHeight="1">
      <c r="A29" s="18"/>
      <c r="J29" s="18"/>
      <c r="K29" s="18"/>
      <c r="L29" s="18"/>
      <c r="M29" s="18"/>
      <c r="N29" s="18"/>
      <c r="O29" s="18"/>
      <c r="P29" s="18"/>
      <c r="Q29" s="18"/>
      <c r="R29" s="18"/>
    </row>
    <row r="30" spans="1:25" ht="15.75" customHeight="1">
      <c r="A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25" ht="15.75" customHeight="1">
      <c r="A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25" ht="15.75" customHeight="1">
      <c r="A32" s="18"/>
      <c r="J32" s="18"/>
      <c r="K32" s="18"/>
      <c r="L32" s="18"/>
      <c r="M32" s="18"/>
      <c r="N32" s="18"/>
      <c r="O32" s="18"/>
      <c r="P32" s="18"/>
      <c r="Q32" s="18"/>
      <c r="R32" s="18"/>
    </row>
    <row r="33" spans="1:18" ht="15.75" customHeight="1">
      <c r="A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ht="15.75" customHeight="1">
      <c r="A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18" ht="15.75" customHeight="1">
      <c r="A35" s="18"/>
      <c r="J35" s="18"/>
      <c r="K35" s="18"/>
      <c r="L35" s="18"/>
      <c r="M35" s="18"/>
      <c r="N35" s="18"/>
      <c r="O35" s="18"/>
      <c r="P35" s="18"/>
      <c r="Q35" s="18"/>
      <c r="R35" s="18"/>
    </row>
    <row r="36" spans="1:18" ht="15.75" customHeight="1">
      <c r="A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ht="15.75" customHeight="1">
      <c r="A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18" ht="15.75" customHeight="1">
      <c r="A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ht="15.75" customHeight="1">
      <c r="A39" s="18"/>
      <c r="J39" s="18"/>
      <c r="K39" s="18"/>
      <c r="L39" s="18"/>
      <c r="M39" s="18"/>
      <c r="N39" s="18"/>
      <c r="O39" s="18"/>
      <c r="P39" s="18"/>
      <c r="Q39" s="18"/>
      <c r="R39" s="18"/>
    </row>
    <row r="40" spans="1:18" ht="15.75" customHeight="1">
      <c r="A40" s="18"/>
      <c r="J40" s="18"/>
      <c r="K40" s="18"/>
      <c r="L40" s="18"/>
      <c r="M40" s="18"/>
      <c r="N40" s="18"/>
      <c r="O40" s="18"/>
      <c r="P40" s="18"/>
      <c r="Q40" s="18"/>
      <c r="R40" s="18"/>
    </row>
    <row r="41" spans="1:18" ht="15.75" customHeight="1">
      <c r="A41" s="18"/>
      <c r="J41" s="18"/>
      <c r="K41" s="18"/>
      <c r="L41" s="18"/>
      <c r="M41" s="18"/>
      <c r="N41" s="18"/>
      <c r="O41" s="18"/>
      <c r="P41" s="18"/>
      <c r="Q41" s="18"/>
      <c r="R41" s="18"/>
    </row>
    <row r="42" spans="1:18" ht="15.75" customHeight="1">
      <c r="A42" s="18"/>
      <c r="J42" s="18"/>
      <c r="K42" s="18"/>
      <c r="L42" s="18"/>
      <c r="M42" s="18"/>
      <c r="N42" s="18"/>
      <c r="O42" s="18"/>
      <c r="P42" s="18"/>
      <c r="Q42" s="18"/>
      <c r="R42" s="18"/>
    </row>
    <row r="43" spans="1:18" ht="15.75" customHeight="1">
      <c r="A43" s="18"/>
      <c r="J43" s="18"/>
      <c r="K43" s="18"/>
      <c r="L43" s="18"/>
      <c r="M43" s="18"/>
      <c r="N43" s="18"/>
      <c r="O43" s="18"/>
      <c r="P43" s="18"/>
      <c r="Q43" s="18"/>
      <c r="R43" s="18"/>
    </row>
    <row r="44" spans="1:18" ht="15.75" customHeight="1">
      <c r="A44" s="18"/>
      <c r="J44" s="18"/>
      <c r="K44" s="18"/>
      <c r="L44" s="18"/>
      <c r="M44" s="18"/>
      <c r="N44" s="18"/>
      <c r="O44" s="18"/>
      <c r="P44" s="18"/>
      <c r="Q44" s="18"/>
      <c r="R44" s="18"/>
    </row>
    <row r="45" spans="1:18" ht="15.75" customHeight="1">
      <c r="A45" s="18"/>
      <c r="J45" s="18"/>
      <c r="K45" s="18"/>
      <c r="L45" s="18"/>
      <c r="M45" s="18"/>
      <c r="N45" s="18"/>
      <c r="O45" s="18"/>
      <c r="P45" s="18"/>
      <c r="Q45" s="18"/>
      <c r="R45" s="18"/>
    </row>
    <row r="46" spans="1:18" ht="15.75" customHeight="1">
      <c r="A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ht="15.75" customHeight="1">
      <c r="A47" s="18"/>
      <c r="J47" s="18"/>
      <c r="K47" s="18"/>
      <c r="L47" s="18"/>
      <c r="M47" s="18"/>
      <c r="N47" s="18"/>
      <c r="O47" s="18"/>
      <c r="P47" s="18"/>
      <c r="Q47" s="18"/>
      <c r="R47" s="18"/>
    </row>
    <row r="48" spans="1:18" ht="15.75" customHeight="1">
      <c r="A48" s="18"/>
      <c r="J48" s="18"/>
      <c r="K48" s="18"/>
      <c r="L48" s="18"/>
      <c r="M48" s="18"/>
      <c r="N48" s="18"/>
      <c r="O48" s="18"/>
      <c r="P48" s="18"/>
      <c r="Q48" s="18"/>
      <c r="R48" s="18"/>
    </row>
    <row r="49" spans="1:18" ht="15.75" customHeight="1">
      <c r="A49" s="18"/>
      <c r="J49" s="18"/>
      <c r="K49" s="18"/>
      <c r="L49" s="18"/>
      <c r="M49" s="18"/>
      <c r="N49" s="18"/>
      <c r="O49" s="18"/>
      <c r="P49" s="18"/>
      <c r="Q49" s="18"/>
      <c r="R49" s="18"/>
    </row>
    <row r="50" spans="1:18" ht="15.75" customHeight="1">
      <c r="A50" s="18"/>
      <c r="J50" s="18"/>
      <c r="K50" s="18"/>
      <c r="L50" s="18"/>
      <c r="M50" s="18"/>
      <c r="N50" s="18"/>
      <c r="O50" s="18"/>
      <c r="P50" s="18"/>
      <c r="Q50" s="18"/>
      <c r="R50" s="18"/>
    </row>
    <row r="51" spans="1:18" ht="15.75" customHeight="1">
      <c r="A51" s="18"/>
      <c r="J51" s="18"/>
      <c r="K51" s="18"/>
      <c r="L51" s="18"/>
      <c r="M51" s="18"/>
      <c r="N51" s="18"/>
      <c r="O51" s="18"/>
      <c r="P51" s="18"/>
      <c r="Q51" s="18"/>
      <c r="R51" s="18"/>
    </row>
    <row r="52" spans="1:18" ht="15.75" customHeight="1">
      <c r="A52" s="18"/>
      <c r="J52" s="18"/>
      <c r="K52" s="18"/>
      <c r="L52" s="18"/>
      <c r="M52" s="18"/>
      <c r="N52" s="18"/>
      <c r="O52" s="18"/>
      <c r="P52" s="18"/>
      <c r="Q52" s="18"/>
      <c r="R52" s="18"/>
    </row>
    <row r="53" spans="1:18" ht="15.75" customHeight="1">
      <c r="A53" s="18"/>
      <c r="J53" s="18"/>
      <c r="K53" s="18"/>
      <c r="L53" s="18"/>
      <c r="M53" s="18"/>
      <c r="N53" s="18"/>
      <c r="O53" s="18"/>
      <c r="P53" s="18"/>
      <c r="Q53" s="18"/>
      <c r="R53" s="18"/>
    </row>
    <row r="54" spans="1:18" ht="15.75" customHeight="1">
      <c r="A54" s="18"/>
      <c r="J54" s="18"/>
      <c r="K54" s="18"/>
      <c r="L54" s="18"/>
      <c r="M54" s="18"/>
      <c r="N54" s="18"/>
      <c r="O54" s="18"/>
      <c r="P54" s="18"/>
      <c r="Q54" s="18"/>
      <c r="R54" s="18"/>
    </row>
    <row r="55" spans="1:18" ht="15.75" customHeight="1">
      <c r="A55" s="18"/>
      <c r="J55" s="18"/>
      <c r="K55" s="18"/>
      <c r="L55" s="18"/>
      <c r="M55" s="18"/>
      <c r="N55" s="18"/>
      <c r="O55" s="18"/>
      <c r="P55" s="18"/>
      <c r="Q55" s="18"/>
      <c r="R55" s="18"/>
    </row>
    <row r="56" spans="1:18" ht="15.75" customHeight="1">
      <c r="A56" s="18"/>
      <c r="J56" s="18"/>
      <c r="K56" s="18"/>
      <c r="L56" s="18"/>
      <c r="M56" s="18"/>
      <c r="N56" s="18"/>
      <c r="O56" s="18"/>
      <c r="P56" s="18"/>
      <c r="Q56" s="18"/>
      <c r="R56" s="18"/>
    </row>
    <row r="57" spans="1:18" ht="15.75" customHeight="1">
      <c r="A57" s="18"/>
      <c r="J57" s="18"/>
      <c r="K57" s="18"/>
      <c r="L57" s="18"/>
      <c r="M57" s="18"/>
      <c r="N57" s="18"/>
      <c r="O57" s="18"/>
      <c r="P57" s="18"/>
      <c r="Q57" s="18"/>
      <c r="R57" s="18"/>
    </row>
    <row r="58" spans="1:18" ht="15.75" customHeight="1">
      <c r="A58" s="18"/>
      <c r="J58" s="18"/>
      <c r="K58" s="18"/>
      <c r="L58" s="18"/>
      <c r="M58" s="18"/>
      <c r="N58" s="18"/>
      <c r="O58" s="18"/>
      <c r="P58" s="18"/>
      <c r="Q58" s="18"/>
      <c r="R58" s="18"/>
    </row>
    <row r="59" spans="1:18" ht="15.75" customHeight="1">
      <c r="A59" s="18"/>
      <c r="J59" s="18"/>
      <c r="K59" s="18"/>
      <c r="L59" s="18"/>
      <c r="M59" s="18"/>
      <c r="N59" s="18"/>
      <c r="O59" s="18"/>
      <c r="P59" s="18"/>
      <c r="Q59" s="18"/>
      <c r="R59" s="18"/>
    </row>
    <row r="60" spans="1:18" ht="15.75" customHeight="1">
      <c r="A60" s="18"/>
      <c r="J60" s="18"/>
      <c r="K60" s="18"/>
      <c r="L60" s="18"/>
      <c r="M60" s="18"/>
      <c r="N60" s="18"/>
      <c r="O60" s="18"/>
      <c r="P60" s="18"/>
      <c r="Q60" s="18"/>
      <c r="R60" s="18"/>
    </row>
    <row r="61" spans="1:18" ht="15.75" customHeight="1">
      <c r="A61" s="18"/>
      <c r="J61" s="18"/>
      <c r="K61" s="18"/>
      <c r="L61" s="18"/>
      <c r="M61" s="18"/>
      <c r="N61" s="18"/>
      <c r="O61" s="18"/>
      <c r="P61" s="18"/>
      <c r="Q61" s="18"/>
      <c r="R61" s="18"/>
    </row>
    <row r="62" spans="1:18" ht="15.75" customHeight="1">
      <c r="A62" s="18"/>
      <c r="J62" s="18"/>
      <c r="K62" s="18"/>
      <c r="L62" s="18"/>
      <c r="M62" s="18"/>
      <c r="N62" s="18"/>
      <c r="O62" s="18"/>
      <c r="P62" s="18"/>
      <c r="Q62" s="18"/>
      <c r="R62" s="18"/>
    </row>
    <row r="63" spans="1:18" ht="15.75" customHeight="1">
      <c r="A63" s="18"/>
      <c r="J63" s="18"/>
      <c r="K63" s="18"/>
      <c r="L63" s="18"/>
      <c r="M63" s="18"/>
      <c r="N63" s="18"/>
      <c r="O63" s="18"/>
      <c r="P63" s="18"/>
      <c r="Q63" s="18"/>
      <c r="R63" s="18"/>
    </row>
    <row r="64" spans="1:18" ht="15.75" customHeight="1">
      <c r="A64" s="18"/>
      <c r="J64" s="18"/>
      <c r="K64" s="18"/>
      <c r="L64" s="18"/>
      <c r="M64" s="18"/>
      <c r="N64" s="18"/>
      <c r="O64" s="18"/>
      <c r="P64" s="18"/>
      <c r="Q64" s="18"/>
      <c r="R64" s="18"/>
    </row>
    <row r="65" spans="1:18" ht="15.75" customHeight="1">
      <c r="A65" s="18"/>
      <c r="J65" s="18"/>
      <c r="K65" s="18"/>
      <c r="L65" s="18"/>
      <c r="M65" s="18"/>
      <c r="N65" s="18"/>
      <c r="O65" s="18"/>
      <c r="P65" s="18"/>
      <c r="Q65" s="18"/>
      <c r="R65" s="18"/>
    </row>
    <row r="66" spans="1:18" ht="15.75" customHeight="1">
      <c r="A66" s="18"/>
      <c r="J66" s="18"/>
      <c r="K66" s="18"/>
      <c r="L66" s="18"/>
      <c r="M66" s="18"/>
      <c r="N66" s="18"/>
      <c r="O66" s="18"/>
      <c r="P66" s="18"/>
      <c r="Q66" s="18"/>
      <c r="R66" s="18"/>
    </row>
    <row r="67" spans="1:18" ht="15.75" customHeight="1">
      <c r="A67" s="18"/>
      <c r="J67" s="18"/>
      <c r="K67" s="18"/>
      <c r="L67" s="18"/>
      <c r="M67" s="18"/>
      <c r="N67" s="18"/>
      <c r="O67" s="18"/>
      <c r="P67" s="18"/>
      <c r="Q67" s="18"/>
      <c r="R67" s="18"/>
    </row>
    <row r="68" spans="1:18" ht="15.75" customHeight="1">
      <c r="A68" s="18"/>
      <c r="J68" s="18"/>
      <c r="K68" s="18"/>
      <c r="L68" s="18"/>
      <c r="M68" s="18"/>
      <c r="N68" s="18"/>
      <c r="O68" s="18"/>
      <c r="P68" s="18"/>
      <c r="Q68" s="18"/>
      <c r="R68" s="18"/>
    </row>
    <row r="69" spans="1:18" ht="15.75" customHeight="1">
      <c r="A69" s="18"/>
      <c r="J69" s="18"/>
      <c r="K69" s="18"/>
      <c r="L69" s="18"/>
      <c r="M69" s="18"/>
      <c r="N69" s="18"/>
      <c r="O69" s="18"/>
      <c r="P69" s="18"/>
      <c r="Q69" s="18"/>
      <c r="R69" s="18"/>
    </row>
    <row r="70" spans="1:18" ht="15.75" customHeight="1">
      <c r="A70" s="18"/>
      <c r="J70" s="18"/>
      <c r="K70" s="18"/>
      <c r="L70" s="18"/>
      <c r="M70" s="18"/>
      <c r="N70" s="18"/>
      <c r="O70" s="18"/>
      <c r="P70" s="18"/>
      <c r="Q70" s="18"/>
      <c r="R70" s="18"/>
    </row>
    <row r="71" spans="1:18" ht="15.75" customHeight="1">
      <c r="A71" s="18"/>
      <c r="J71" s="18"/>
      <c r="K71" s="18"/>
      <c r="L71" s="18"/>
      <c r="M71" s="18"/>
      <c r="N71" s="18"/>
      <c r="O71" s="18"/>
      <c r="P71" s="18"/>
      <c r="Q71" s="18"/>
      <c r="R71" s="18"/>
    </row>
    <row r="72" spans="1:18" ht="15.75" customHeight="1">
      <c r="A72" s="18"/>
      <c r="J72" s="18"/>
      <c r="K72" s="18"/>
      <c r="L72" s="18"/>
      <c r="M72" s="18"/>
      <c r="N72" s="18"/>
      <c r="O72" s="18"/>
      <c r="P72" s="18"/>
      <c r="Q72" s="18"/>
      <c r="R72" s="18"/>
    </row>
    <row r="73" spans="1:18" ht="15.75" customHeight="1">
      <c r="A73" s="18"/>
      <c r="J73" s="18"/>
      <c r="K73" s="18"/>
      <c r="L73" s="18"/>
      <c r="M73" s="18"/>
      <c r="N73" s="18"/>
      <c r="O73" s="18"/>
      <c r="P73" s="18"/>
      <c r="Q73" s="18"/>
      <c r="R73" s="18"/>
    </row>
    <row r="74" spans="1:18" ht="15.75" customHeight="1">
      <c r="A74" s="18"/>
      <c r="J74" s="18"/>
      <c r="K74" s="18"/>
      <c r="L74" s="18"/>
      <c r="M74" s="18"/>
      <c r="N74" s="18"/>
      <c r="O74" s="18"/>
      <c r="P74" s="18"/>
      <c r="Q74" s="18"/>
      <c r="R74" s="18"/>
    </row>
    <row r="75" spans="1:18" ht="15.75" customHeight="1">
      <c r="A75" s="18"/>
      <c r="J75" s="18"/>
      <c r="K75" s="18"/>
      <c r="L75" s="18"/>
      <c r="M75" s="18"/>
      <c r="N75" s="18"/>
      <c r="O75" s="18"/>
      <c r="P75" s="18"/>
      <c r="Q75" s="18"/>
      <c r="R75" s="18"/>
    </row>
    <row r="76" spans="1:18" ht="15.75" customHeight="1">
      <c r="A76" s="18"/>
      <c r="J76" s="18"/>
      <c r="K76" s="18"/>
      <c r="L76" s="18"/>
      <c r="M76" s="18"/>
      <c r="N76" s="18"/>
      <c r="O76" s="18"/>
      <c r="P76" s="18"/>
      <c r="Q76" s="18"/>
      <c r="R76" s="18"/>
    </row>
    <row r="77" spans="1:18" ht="15.75" customHeight="1">
      <c r="A77" s="18"/>
      <c r="J77" s="18"/>
      <c r="K77" s="18"/>
      <c r="L77" s="18"/>
      <c r="M77" s="18"/>
      <c r="N77" s="18"/>
      <c r="O77" s="18"/>
      <c r="P77" s="18"/>
      <c r="Q77" s="18"/>
      <c r="R77" s="18"/>
    </row>
    <row r="78" spans="1:18" ht="15.75" customHeight="1">
      <c r="A78" s="18"/>
      <c r="J78" s="18"/>
      <c r="K78" s="18"/>
      <c r="L78" s="18"/>
      <c r="M78" s="18"/>
      <c r="N78" s="18"/>
      <c r="O78" s="18"/>
      <c r="P78" s="18"/>
      <c r="Q78" s="18"/>
      <c r="R78" s="18"/>
    </row>
    <row r="79" spans="1:18" ht="15.75" customHeight="1">
      <c r="A79" s="18"/>
      <c r="J79" s="18"/>
      <c r="K79" s="18"/>
      <c r="L79" s="18"/>
      <c r="M79" s="18"/>
      <c r="N79" s="18"/>
      <c r="O79" s="18"/>
      <c r="P79" s="18"/>
      <c r="Q79" s="18"/>
      <c r="R79" s="18"/>
    </row>
    <row r="80" spans="1:18" ht="15.75" customHeight="1">
      <c r="A80" s="18"/>
      <c r="J80" s="18"/>
      <c r="K80" s="18"/>
      <c r="L80" s="18"/>
      <c r="M80" s="18"/>
      <c r="N80" s="18"/>
      <c r="O80" s="18"/>
      <c r="P80" s="18"/>
      <c r="Q80" s="18"/>
      <c r="R80" s="18"/>
    </row>
    <row r="81" spans="1:18" ht="15.75" customHeight="1">
      <c r="A81" s="18"/>
      <c r="J81" s="18"/>
      <c r="K81" s="18"/>
      <c r="L81" s="18"/>
      <c r="M81" s="18"/>
      <c r="N81" s="18"/>
      <c r="O81" s="18"/>
      <c r="P81" s="18"/>
      <c r="Q81" s="18"/>
      <c r="R81" s="18"/>
    </row>
    <row r="82" spans="1:18" ht="15.75" customHeight="1">
      <c r="A82" s="18"/>
      <c r="J82" s="18"/>
      <c r="K82" s="18"/>
      <c r="L82" s="18"/>
      <c r="M82" s="18"/>
      <c r="N82" s="18"/>
      <c r="O82" s="18"/>
      <c r="P82" s="18"/>
      <c r="Q82" s="18"/>
      <c r="R82" s="18"/>
    </row>
    <row r="83" spans="1:18" ht="15.75" customHeight="1">
      <c r="A83" s="18"/>
      <c r="J83" s="18"/>
      <c r="K83" s="18"/>
      <c r="L83" s="18"/>
      <c r="M83" s="18"/>
      <c r="N83" s="18"/>
      <c r="O83" s="18"/>
      <c r="P83" s="18"/>
      <c r="Q83" s="18"/>
      <c r="R83" s="18"/>
    </row>
    <row r="84" spans="1:18" ht="15.75" customHeight="1">
      <c r="A84" s="18"/>
      <c r="J84" s="18"/>
      <c r="K84" s="18"/>
      <c r="L84" s="18"/>
      <c r="M84" s="18"/>
      <c r="N84" s="18"/>
      <c r="O84" s="18"/>
      <c r="P84" s="18"/>
      <c r="Q84" s="18"/>
      <c r="R84" s="18"/>
    </row>
    <row r="85" spans="1:18" ht="15.75" customHeight="1">
      <c r="A85" s="18"/>
      <c r="J85" s="18"/>
      <c r="K85" s="18"/>
      <c r="L85" s="18"/>
      <c r="M85" s="18"/>
      <c r="N85" s="18"/>
      <c r="O85" s="18"/>
      <c r="P85" s="18"/>
      <c r="Q85" s="18"/>
      <c r="R85" s="18"/>
    </row>
    <row r="86" spans="1:18" ht="15.75" customHeight="1">
      <c r="A86" s="18"/>
      <c r="J86" s="18"/>
      <c r="K86" s="18"/>
      <c r="L86" s="18"/>
      <c r="M86" s="18"/>
      <c r="N86" s="18"/>
      <c r="O86" s="18"/>
      <c r="P86" s="18"/>
      <c r="Q86" s="18"/>
      <c r="R86" s="18"/>
    </row>
    <row r="87" spans="1:18" ht="15.75" customHeight="1">
      <c r="A87" s="18"/>
      <c r="J87" s="18"/>
      <c r="K87" s="18"/>
      <c r="L87" s="18"/>
      <c r="M87" s="18"/>
      <c r="N87" s="18"/>
      <c r="O87" s="18"/>
      <c r="P87" s="18"/>
      <c r="Q87" s="18"/>
      <c r="R87" s="18"/>
    </row>
    <row r="88" spans="1:18" ht="15.75" customHeight="1">
      <c r="A88" s="18"/>
      <c r="J88" s="18"/>
      <c r="K88" s="18"/>
      <c r="L88" s="18"/>
      <c r="M88" s="18"/>
      <c r="N88" s="18"/>
      <c r="O88" s="18"/>
      <c r="P88" s="18"/>
      <c r="Q88" s="18"/>
      <c r="R88" s="18"/>
    </row>
    <row r="89" spans="1:18" ht="15.75" customHeight="1">
      <c r="A89" s="18"/>
      <c r="J89" s="18"/>
      <c r="K89" s="18"/>
      <c r="L89" s="18"/>
      <c r="M89" s="18"/>
      <c r="N89" s="18"/>
      <c r="O89" s="18"/>
      <c r="P89" s="18"/>
      <c r="Q89" s="18"/>
      <c r="R89" s="18"/>
    </row>
    <row r="90" spans="1:18" ht="15.75" customHeight="1">
      <c r="A90" s="18"/>
      <c r="J90" s="18"/>
      <c r="K90" s="18"/>
      <c r="L90" s="18"/>
      <c r="M90" s="18"/>
      <c r="N90" s="18"/>
      <c r="O90" s="18"/>
      <c r="P90" s="18"/>
      <c r="Q90" s="18"/>
      <c r="R90" s="18"/>
    </row>
    <row r="91" spans="1:18" ht="15.75" customHeight="1">
      <c r="A91" s="18"/>
      <c r="J91" s="18"/>
      <c r="K91" s="18"/>
      <c r="L91" s="18"/>
      <c r="M91" s="18"/>
      <c r="N91" s="18"/>
      <c r="O91" s="18"/>
      <c r="P91" s="18"/>
      <c r="Q91" s="18"/>
      <c r="R91" s="18"/>
    </row>
    <row r="92" spans="1:18" ht="15.75" customHeight="1">
      <c r="A92" s="18"/>
      <c r="J92" s="18"/>
      <c r="K92" s="18"/>
      <c r="L92" s="18"/>
      <c r="M92" s="18"/>
      <c r="N92" s="18"/>
      <c r="O92" s="18"/>
      <c r="P92" s="18"/>
      <c r="Q92" s="18"/>
      <c r="R92" s="18"/>
    </row>
    <row r="93" spans="1:18" ht="15.75" customHeight="1">
      <c r="A93" s="18"/>
      <c r="J93" s="18"/>
      <c r="K93" s="18"/>
      <c r="L93" s="18"/>
      <c r="M93" s="18"/>
      <c r="N93" s="18"/>
      <c r="O93" s="18"/>
      <c r="P93" s="18"/>
      <c r="Q93" s="18"/>
      <c r="R93" s="18"/>
    </row>
    <row r="94" spans="1:18" ht="15.75" customHeight="1">
      <c r="A94" s="18"/>
      <c r="J94" s="18"/>
      <c r="K94" s="18"/>
      <c r="L94" s="18"/>
      <c r="M94" s="18"/>
      <c r="N94" s="18"/>
      <c r="O94" s="18"/>
      <c r="P94" s="18"/>
      <c r="Q94" s="18"/>
      <c r="R94" s="18"/>
    </row>
    <row r="95" spans="1:18" ht="15.75" customHeight="1">
      <c r="A95" s="18"/>
      <c r="J95" s="18"/>
      <c r="K95" s="18"/>
      <c r="L95" s="18"/>
      <c r="M95" s="18"/>
      <c r="N95" s="18"/>
      <c r="O95" s="18"/>
      <c r="P95" s="18"/>
      <c r="Q95" s="18"/>
      <c r="R95" s="18"/>
    </row>
    <row r="96" spans="1:18" ht="15.75" customHeight="1">
      <c r="A96" s="18"/>
      <c r="J96" s="18"/>
      <c r="K96" s="18"/>
      <c r="L96" s="18"/>
      <c r="M96" s="18"/>
      <c r="N96" s="18"/>
      <c r="O96" s="18"/>
      <c r="P96" s="18"/>
      <c r="Q96" s="18"/>
      <c r="R96" s="18"/>
    </row>
    <row r="97" spans="1:18" ht="15.75" customHeight="1">
      <c r="A97" s="18"/>
      <c r="J97" s="18"/>
      <c r="K97" s="18"/>
      <c r="L97" s="18"/>
      <c r="M97" s="18"/>
      <c r="N97" s="18"/>
      <c r="O97" s="18"/>
      <c r="P97" s="18"/>
      <c r="Q97" s="18"/>
      <c r="R97" s="18"/>
    </row>
    <row r="98" spans="1:18" ht="15.75" customHeight="1">
      <c r="A98" s="18"/>
      <c r="J98" s="18"/>
      <c r="K98" s="18"/>
      <c r="L98" s="18"/>
      <c r="M98" s="18"/>
      <c r="N98" s="18"/>
      <c r="O98" s="18"/>
      <c r="P98" s="18"/>
      <c r="Q98" s="18"/>
      <c r="R98" s="18"/>
    </row>
    <row r="99" spans="1:18" ht="15.75" customHeight="1">
      <c r="A99" s="18"/>
      <c r="J99" s="18"/>
      <c r="K99" s="18"/>
      <c r="L99" s="18"/>
      <c r="M99" s="18"/>
      <c r="N99" s="18"/>
      <c r="O99" s="18"/>
      <c r="P99" s="18"/>
      <c r="Q99" s="18"/>
      <c r="R99" s="18"/>
    </row>
    <row r="100" spans="1:18" ht="15.75" customHeight="1">
      <c r="A100" s="18"/>
      <c r="J100" s="18"/>
      <c r="K100" s="18"/>
      <c r="L100" s="18"/>
      <c r="M100" s="18"/>
      <c r="N100" s="18"/>
      <c r="O100" s="18"/>
      <c r="P100" s="18"/>
      <c r="Q100" s="18"/>
      <c r="R100" s="18"/>
    </row>
    <row r="101" spans="1:18" ht="15.75" customHeight="1">
      <c r="A101" s="18"/>
      <c r="J101" s="18"/>
      <c r="K101" s="18"/>
      <c r="L101" s="18"/>
      <c r="M101" s="18"/>
      <c r="N101" s="18"/>
      <c r="O101" s="18"/>
      <c r="P101" s="18"/>
      <c r="Q101" s="18"/>
      <c r="R101" s="18"/>
    </row>
    <row r="102" spans="1:18" ht="15.75" customHeight="1">
      <c r="A102" s="18"/>
      <c r="J102" s="18"/>
      <c r="K102" s="18"/>
      <c r="L102" s="18"/>
      <c r="M102" s="18"/>
      <c r="N102" s="18"/>
      <c r="O102" s="18"/>
      <c r="P102" s="18"/>
      <c r="Q102" s="18"/>
      <c r="R102" s="18"/>
    </row>
    <row r="103" spans="1:18" ht="15.75" customHeight="1">
      <c r="A103" s="18"/>
      <c r="J103" s="18"/>
      <c r="K103" s="18"/>
      <c r="L103" s="18"/>
      <c r="M103" s="18"/>
      <c r="N103" s="18"/>
      <c r="O103" s="18"/>
      <c r="P103" s="18"/>
      <c r="Q103" s="18"/>
      <c r="R103" s="18"/>
    </row>
    <row r="104" spans="1:18" ht="15.75" customHeight="1">
      <c r="A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spans="1:18" ht="15.75" customHeight="1">
      <c r="A105" s="18"/>
      <c r="J105" s="18"/>
      <c r="K105" s="18"/>
      <c r="L105" s="18"/>
      <c r="M105" s="18"/>
      <c r="N105" s="18"/>
      <c r="O105" s="18"/>
      <c r="P105" s="18"/>
      <c r="Q105" s="18"/>
      <c r="R105" s="18"/>
    </row>
    <row r="106" spans="1:18" ht="15.75" customHeight="1">
      <c r="A106" s="18"/>
      <c r="J106" s="18"/>
      <c r="K106" s="18"/>
      <c r="L106" s="18"/>
      <c r="M106" s="18"/>
      <c r="N106" s="18"/>
      <c r="O106" s="18"/>
      <c r="P106" s="18"/>
      <c r="Q106" s="18"/>
      <c r="R106" s="18"/>
    </row>
    <row r="107" spans="1:18" ht="15.75" customHeight="1">
      <c r="A107" s="18"/>
      <c r="J107" s="18"/>
      <c r="K107" s="18"/>
      <c r="L107" s="18"/>
      <c r="M107" s="18"/>
      <c r="N107" s="18"/>
      <c r="O107" s="18"/>
      <c r="P107" s="18"/>
      <c r="Q107" s="18"/>
      <c r="R107" s="18"/>
    </row>
    <row r="108" spans="1:18" ht="15.75" customHeight="1">
      <c r="A108" s="18"/>
      <c r="J108" s="18"/>
      <c r="K108" s="18"/>
      <c r="L108" s="18"/>
      <c r="M108" s="18"/>
      <c r="N108" s="18"/>
      <c r="O108" s="18"/>
      <c r="P108" s="18"/>
      <c r="Q108" s="18"/>
      <c r="R108" s="18"/>
    </row>
    <row r="109" spans="1:18" ht="15.75" customHeight="1">
      <c r="A109" s="18"/>
      <c r="J109" s="18"/>
      <c r="K109" s="18"/>
      <c r="L109" s="18"/>
      <c r="M109" s="18"/>
      <c r="N109" s="18"/>
      <c r="O109" s="18"/>
      <c r="P109" s="18"/>
      <c r="Q109" s="18"/>
      <c r="R109" s="18"/>
    </row>
    <row r="110" spans="1:18" ht="15.75" customHeight="1">
      <c r="A110" s="18"/>
      <c r="J110" s="18"/>
      <c r="K110" s="18"/>
      <c r="L110" s="18"/>
      <c r="M110" s="18"/>
      <c r="N110" s="18"/>
      <c r="O110" s="18"/>
      <c r="P110" s="18"/>
      <c r="Q110" s="18"/>
      <c r="R110" s="18"/>
    </row>
    <row r="111" spans="1:18" ht="15.75" customHeight="1">
      <c r="A111" s="18"/>
      <c r="J111" s="18"/>
      <c r="K111" s="18"/>
      <c r="L111" s="18"/>
      <c r="M111" s="18"/>
      <c r="N111" s="18"/>
      <c r="O111" s="18"/>
      <c r="P111" s="18"/>
      <c r="Q111" s="18"/>
      <c r="R111" s="18"/>
    </row>
    <row r="112" spans="1:18" ht="15.75" customHeight="1">
      <c r="A112" s="18"/>
      <c r="J112" s="18"/>
      <c r="K112" s="18"/>
      <c r="L112" s="18"/>
      <c r="M112" s="18"/>
      <c r="N112" s="18"/>
      <c r="O112" s="18"/>
      <c r="P112" s="18"/>
      <c r="Q112" s="18"/>
      <c r="R112" s="18"/>
    </row>
    <row r="113" spans="1:18" ht="15.75" customHeight="1">
      <c r="A113" s="18"/>
      <c r="J113" s="18"/>
      <c r="K113" s="18"/>
      <c r="L113" s="18"/>
      <c r="M113" s="18"/>
      <c r="N113" s="18"/>
      <c r="O113" s="18"/>
      <c r="P113" s="18"/>
      <c r="Q113" s="18"/>
      <c r="R113" s="18"/>
    </row>
    <row r="114" spans="1:18" ht="15.75" customHeight="1">
      <c r="A114" s="18"/>
      <c r="J114" s="18"/>
      <c r="K114" s="18"/>
      <c r="L114" s="18"/>
      <c r="M114" s="18"/>
      <c r="N114" s="18"/>
      <c r="O114" s="18"/>
      <c r="P114" s="18"/>
      <c r="Q114" s="18"/>
      <c r="R114" s="18"/>
    </row>
    <row r="115" spans="1:18" ht="15.75" customHeight="1">
      <c r="A115" s="18"/>
      <c r="J115" s="18"/>
      <c r="K115" s="18"/>
      <c r="L115" s="18"/>
      <c r="M115" s="18"/>
      <c r="N115" s="18"/>
      <c r="O115" s="18"/>
      <c r="P115" s="18"/>
      <c r="Q115" s="18"/>
      <c r="R115" s="18"/>
    </row>
    <row r="116" spans="1:18" ht="15.75" customHeight="1">
      <c r="A116" s="18"/>
      <c r="J116" s="18"/>
      <c r="K116" s="18"/>
      <c r="L116" s="18"/>
      <c r="M116" s="18"/>
      <c r="N116" s="18"/>
      <c r="O116" s="18"/>
      <c r="P116" s="18"/>
      <c r="Q116" s="18"/>
      <c r="R116" s="18"/>
    </row>
    <row r="117" spans="1:18" ht="15.75" customHeight="1">
      <c r="A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 spans="1:18" ht="15.75" customHeight="1">
      <c r="A118" s="18"/>
      <c r="J118" s="18"/>
      <c r="K118" s="18"/>
      <c r="L118" s="18"/>
      <c r="M118" s="18"/>
      <c r="N118" s="18"/>
      <c r="O118" s="18"/>
      <c r="P118" s="18"/>
      <c r="Q118" s="18"/>
      <c r="R118" s="18"/>
    </row>
    <row r="119" spans="1:18" ht="15.75" customHeight="1">
      <c r="A119" s="18"/>
      <c r="J119" s="18"/>
      <c r="K119" s="18"/>
      <c r="L119" s="18"/>
      <c r="M119" s="18"/>
      <c r="N119" s="18"/>
      <c r="O119" s="18"/>
      <c r="P119" s="18"/>
      <c r="Q119" s="18"/>
      <c r="R119" s="18"/>
    </row>
    <row r="120" spans="1:18" ht="15.75" customHeight="1">
      <c r="A120" s="18"/>
      <c r="J120" s="18"/>
      <c r="K120" s="18"/>
      <c r="L120" s="18"/>
      <c r="M120" s="18"/>
      <c r="N120" s="18"/>
      <c r="O120" s="18"/>
      <c r="P120" s="18"/>
      <c r="Q120" s="18"/>
      <c r="R120" s="18"/>
    </row>
    <row r="121" spans="1:18" ht="15.75" customHeight="1">
      <c r="A121" s="18"/>
      <c r="J121" s="18"/>
      <c r="K121" s="18"/>
      <c r="L121" s="18"/>
      <c r="M121" s="18"/>
      <c r="N121" s="18"/>
      <c r="O121" s="18"/>
      <c r="P121" s="18"/>
      <c r="Q121" s="18"/>
      <c r="R121" s="18"/>
    </row>
    <row r="122" spans="1:18" ht="15.75" customHeight="1">
      <c r="A122" s="18"/>
      <c r="J122" s="18"/>
      <c r="K122" s="18"/>
      <c r="L122" s="18"/>
      <c r="M122" s="18"/>
      <c r="N122" s="18"/>
      <c r="O122" s="18"/>
      <c r="P122" s="18"/>
      <c r="Q122" s="18"/>
      <c r="R122" s="18"/>
    </row>
    <row r="123" spans="1:18" ht="15.75" customHeight="1">
      <c r="A123" s="18"/>
      <c r="J123" s="18"/>
      <c r="K123" s="18"/>
      <c r="L123" s="18"/>
      <c r="M123" s="18"/>
      <c r="N123" s="18"/>
      <c r="O123" s="18"/>
      <c r="P123" s="18"/>
      <c r="Q123" s="18"/>
      <c r="R123" s="18"/>
    </row>
    <row r="124" spans="1:18" ht="15.75" customHeight="1">
      <c r="A124" s="18"/>
      <c r="J124" s="18"/>
      <c r="K124" s="18"/>
      <c r="L124" s="18"/>
      <c r="M124" s="18"/>
      <c r="N124" s="18"/>
      <c r="O124" s="18"/>
      <c r="P124" s="18"/>
      <c r="Q124" s="18"/>
      <c r="R124" s="18"/>
    </row>
    <row r="125" spans="1:18" ht="15.75" customHeight="1">
      <c r="A125" s="18"/>
      <c r="J125" s="18"/>
      <c r="K125" s="18"/>
      <c r="L125" s="18"/>
      <c r="M125" s="18"/>
      <c r="N125" s="18"/>
      <c r="O125" s="18"/>
      <c r="P125" s="18"/>
      <c r="Q125" s="18"/>
      <c r="R125" s="18"/>
    </row>
    <row r="126" spans="1:18" ht="15.75" customHeight="1">
      <c r="A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 spans="1:18" ht="15.75" customHeight="1">
      <c r="A127" s="18"/>
      <c r="J127" s="18"/>
      <c r="K127" s="18"/>
      <c r="L127" s="18"/>
      <c r="M127" s="18"/>
      <c r="N127" s="18"/>
      <c r="O127" s="18"/>
      <c r="P127" s="18"/>
      <c r="Q127" s="18"/>
      <c r="R127" s="18"/>
    </row>
    <row r="128" spans="1:18" ht="15.75" customHeight="1">
      <c r="A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1:18" ht="15.75" customHeight="1">
      <c r="A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 spans="1:18" ht="15.75" customHeight="1">
      <c r="A130" s="18"/>
      <c r="J130" s="18"/>
      <c r="K130" s="18"/>
      <c r="L130" s="18"/>
      <c r="M130" s="18"/>
      <c r="N130" s="18"/>
      <c r="O130" s="18"/>
      <c r="P130" s="18"/>
      <c r="Q130" s="18"/>
      <c r="R130" s="18"/>
    </row>
    <row r="131" spans="1:18" ht="15.75" customHeight="1">
      <c r="A131" s="18"/>
      <c r="J131" s="18"/>
      <c r="K131" s="18"/>
      <c r="L131" s="18"/>
      <c r="M131" s="18"/>
      <c r="N131" s="18"/>
      <c r="O131" s="18"/>
      <c r="P131" s="18"/>
      <c r="Q131" s="18"/>
      <c r="R131" s="18"/>
    </row>
    <row r="132" spans="1:18" ht="15.75" customHeight="1">
      <c r="A132" s="18"/>
      <c r="J132" s="18"/>
      <c r="K132" s="18"/>
      <c r="L132" s="18"/>
      <c r="M132" s="18"/>
      <c r="N132" s="18"/>
      <c r="O132" s="18"/>
      <c r="P132" s="18"/>
      <c r="Q132" s="18"/>
      <c r="R132" s="18"/>
    </row>
    <row r="133" spans="1:18" ht="15.75" customHeight="1">
      <c r="A133" s="18"/>
      <c r="J133" s="18"/>
      <c r="K133" s="18"/>
      <c r="L133" s="18"/>
      <c r="M133" s="18"/>
      <c r="N133" s="18"/>
      <c r="O133" s="18"/>
      <c r="P133" s="18"/>
      <c r="Q133" s="18"/>
      <c r="R133" s="18"/>
    </row>
    <row r="134" spans="1:18" ht="15.75" customHeight="1">
      <c r="A134" s="18"/>
      <c r="J134" s="18"/>
      <c r="K134" s="18"/>
      <c r="L134" s="18"/>
      <c r="M134" s="18"/>
      <c r="N134" s="18"/>
      <c r="O134" s="18"/>
      <c r="P134" s="18"/>
      <c r="Q134" s="18"/>
      <c r="R134" s="18"/>
    </row>
    <row r="135" spans="1:18" ht="15.75" customHeight="1">
      <c r="A135" s="18"/>
      <c r="J135" s="18"/>
      <c r="K135" s="18"/>
      <c r="L135" s="18"/>
      <c r="M135" s="18"/>
      <c r="N135" s="18"/>
      <c r="O135" s="18"/>
      <c r="P135" s="18"/>
      <c r="Q135" s="18"/>
      <c r="R135" s="18"/>
    </row>
    <row r="136" spans="1:18" ht="15.75" customHeight="1">
      <c r="A136" s="18"/>
      <c r="J136" s="18"/>
      <c r="K136" s="18"/>
      <c r="L136" s="18"/>
      <c r="M136" s="18"/>
      <c r="N136" s="18"/>
      <c r="O136" s="18"/>
      <c r="P136" s="18"/>
      <c r="Q136" s="18"/>
      <c r="R136" s="18"/>
    </row>
    <row r="137" spans="1:18" ht="15.75" customHeight="1">
      <c r="A137" s="18"/>
      <c r="J137" s="18"/>
      <c r="K137" s="18"/>
      <c r="L137" s="18"/>
      <c r="M137" s="18"/>
      <c r="N137" s="18"/>
      <c r="O137" s="18"/>
      <c r="P137" s="18"/>
      <c r="Q137" s="18"/>
      <c r="R137" s="18"/>
    </row>
    <row r="138" spans="1:18" ht="15.75" customHeight="1">
      <c r="A138" s="18"/>
      <c r="J138" s="18"/>
      <c r="K138" s="18"/>
      <c r="L138" s="18"/>
      <c r="M138" s="18"/>
      <c r="N138" s="18"/>
      <c r="O138" s="18"/>
      <c r="P138" s="18"/>
      <c r="Q138" s="18"/>
      <c r="R138" s="18"/>
    </row>
    <row r="139" spans="1:18" ht="15.75" customHeight="1">
      <c r="A139" s="18"/>
      <c r="J139" s="18"/>
      <c r="K139" s="18"/>
      <c r="L139" s="18"/>
      <c r="M139" s="18"/>
      <c r="N139" s="18"/>
      <c r="O139" s="18"/>
      <c r="P139" s="18"/>
      <c r="Q139" s="18"/>
      <c r="R139" s="18"/>
    </row>
    <row r="140" spans="1:18" ht="15.75" customHeight="1">
      <c r="A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 spans="1:18" ht="15.75" customHeight="1">
      <c r="A141" s="18"/>
      <c r="J141" s="18"/>
      <c r="K141" s="18"/>
      <c r="L141" s="18"/>
      <c r="M141" s="18"/>
      <c r="N141" s="18"/>
      <c r="O141" s="18"/>
      <c r="P141" s="18"/>
      <c r="Q141" s="18"/>
      <c r="R141" s="18"/>
    </row>
    <row r="142" spans="1:18" ht="15.75" customHeight="1">
      <c r="A142" s="18"/>
      <c r="J142" s="18"/>
      <c r="K142" s="18"/>
      <c r="L142" s="18"/>
      <c r="M142" s="18"/>
      <c r="N142" s="18"/>
      <c r="O142" s="18"/>
      <c r="P142" s="18"/>
      <c r="Q142" s="18"/>
      <c r="R142" s="18"/>
    </row>
    <row r="143" spans="1:18" ht="15.75" customHeight="1">
      <c r="A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 spans="1:18" ht="15.75" customHeight="1">
      <c r="A144" s="18"/>
      <c r="J144" s="18"/>
      <c r="K144" s="18"/>
      <c r="L144" s="18"/>
      <c r="M144" s="18"/>
      <c r="N144" s="18"/>
      <c r="O144" s="18"/>
      <c r="P144" s="18"/>
      <c r="Q144" s="18"/>
      <c r="R144" s="18"/>
    </row>
    <row r="145" spans="1:18" ht="15.75" customHeight="1">
      <c r="A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 spans="1:18" ht="15.75" customHeight="1">
      <c r="A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 spans="1:18" ht="15.75" customHeight="1">
      <c r="A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 spans="1:18" ht="15.75" customHeight="1">
      <c r="A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 spans="1:18" ht="15.75" customHeight="1">
      <c r="A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 spans="1:18" ht="15.75" customHeight="1">
      <c r="A150" s="18"/>
      <c r="J150" s="18"/>
      <c r="K150" s="18"/>
      <c r="L150" s="18"/>
      <c r="M150" s="18"/>
      <c r="N150" s="18"/>
      <c r="O150" s="18"/>
      <c r="P150" s="18"/>
      <c r="Q150" s="18"/>
      <c r="R150" s="18"/>
    </row>
    <row r="151" spans="1:18" ht="15.75" customHeight="1">
      <c r="A151" s="18"/>
      <c r="J151" s="18"/>
      <c r="K151" s="18"/>
      <c r="L151" s="18"/>
      <c r="M151" s="18"/>
      <c r="N151" s="18"/>
      <c r="O151" s="18"/>
      <c r="P151" s="18"/>
      <c r="Q151" s="18"/>
      <c r="R151" s="18"/>
    </row>
    <row r="152" spans="1:18" ht="15.75" customHeight="1">
      <c r="A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 spans="1:18" ht="15.75" customHeight="1">
      <c r="A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 spans="1:18" ht="15.75" customHeight="1">
      <c r="A154" s="18"/>
      <c r="J154" s="18"/>
      <c r="K154" s="18"/>
      <c r="L154" s="18"/>
      <c r="M154" s="18"/>
      <c r="N154" s="18"/>
      <c r="O154" s="18"/>
      <c r="P154" s="18"/>
      <c r="Q154" s="18"/>
      <c r="R154" s="18"/>
    </row>
    <row r="155" spans="1:18" ht="15.75" customHeight="1">
      <c r="A155" s="18"/>
      <c r="J155" s="18"/>
      <c r="K155" s="18"/>
      <c r="L155" s="18"/>
      <c r="M155" s="18"/>
      <c r="N155" s="18"/>
      <c r="O155" s="18"/>
      <c r="P155" s="18"/>
      <c r="Q155" s="18"/>
      <c r="R155" s="18"/>
    </row>
    <row r="156" spans="1:18" ht="15.75" customHeight="1">
      <c r="A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 spans="1:18" ht="15.75" customHeight="1">
      <c r="A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 spans="1:18" ht="15.75" customHeight="1">
      <c r="A158" s="18"/>
      <c r="J158" s="18"/>
      <c r="K158" s="18"/>
      <c r="L158" s="18"/>
      <c r="M158" s="18"/>
      <c r="N158" s="18"/>
      <c r="O158" s="18"/>
      <c r="P158" s="18"/>
      <c r="Q158" s="18"/>
      <c r="R158" s="18"/>
    </row>
    <row r="159" spans="1:18" ht="15.75" customHeight="1">
      <c r="A159" s="18"/>
      <c r="J159" s="18"/>
      <c r="K159" s="18"/>
      <c r="L159" s="18"/>
      <c r="M159" s="18"/>
      <c r="N159" s="18"/>
      <c r="O159" s="18"/>
      <c r="P159" s="18"/>
      <c r="Q159" s="18"/>
      <c r="R159" s="18"/>
    </row>
    <row r="160" spans="1:18" ht="15.75" customHeight="1">
      <c r="A160" s="18"/>
      <c r="J160" s="18"/>
      <c r="K160" s="18"/>
      <c r="L160" s="18"/>
      <c r="M160" s="18"/>
      <c r="N160" s="18"/>
      <c r="O160" s="18"/>
      <c r="P160" s="18"/>
      <c r="Q160" s="18"/>
      <c r="R160" s="18"/>
    </row>
    <row r="161" spans="1:18" ht="15.75" customHeight="1">
      <c r="A161" s="18"/>
      <c r="J161" s="18"/>
      <c r="K161" s="18"/>
      <c r="L161" s="18"/>
      <c r="M161" s="18"/>
      <c r="N161" s="18"/>
      <c r="O161" s="18"/>
      <c r="P161" s="18"/>
      <c r="Q161" s="18"/>
      <c r="R161" s="18"/>
    </row>
    <row r="162" spans="1:18" ht="15.75" customHeight="1">
      <c r="A162" s="18"/>
      <c r="J162" s="18"/>
      <c r="K162" s="18"/>
      <c r="L162" s="18"/>
      <c r="M162" s="18"/>
      <c r="N162" s="18"/>
      <c r="O162" s="18"/>
      <c r="P162" s="18"/>
      <c r="Q162" s="18"/>
      <c r="R162" s="18"/>
    </row>
    <row r="163" spans="1:18" ht="15.75" customHeight="1">
      <c r="A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 spans="1:18" ht="15.75" customHeight="1">
      <c r="A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 spans="1:18" ht="15.75" customHeight="1">
      <c r="A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 spans="1:18" ht="15.75" customHeight="1">
      <c r="A166" s="18"/>
      <c r="J166" s="18"/>
      <c r="K166" s="18"/>
      <c r="L166" s="18"/>
      <c r="M166" s="18"/>
      <c r="N166" s="18"/>
      <c r="O166" s="18"/>
      <c r="P166" s="18"/>
      <c r="Q166" s="18"/>
      <c r="R166" s="18"/>
    </row>
    <row r="167" spans="1:18" ht="15.75" customHeight="1">
      <c r="A167" s="18"/>
      <c r="J167" s="18"/>
      <c r="K167" s="18"/>
      <c r="L167" s="18"/>
      <c r="M167" s="18"/>
      <c r="N167" s="18"/>
      <c r="O167" s="18"/>
      <c r="P167" s="18"/>
      <c r="Q167" s="18"/>
      <c r="R167" s="18"/>
    </row>
    <row r="168" spans="1:18" ht="15.75" customHeight="1">
      <c r="A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1:18" ht="15.75" customHeight="1">
      <c r="A169" s="18"/>
      <c r="J169" s="18"/>
      <c r="K169" s="18"/>
      <c r="L169" s="18"/>
      <c r="M169" s="18"/>
      <c r="N169" s="18"/>
      <c r="O169" s="18"/>
      <c r="P169" s="18"/>
      <c r="Q169" s="18"/>
      <c r="R169" s="18"/>
    </row>
    <row r="170" spans="1:18" ht="15.75" customHeight="1">
      <c r="A170" s="18"/>
      <c r="J170" s="18"/>
      <c r="K170" s="18"/>
      <c r="L170" s="18"/>
      <c r="M170" s="18"/>
      <c r="N170" s="18"/>
      <c r="O170" s="18"/>
      <c r="P170" s="18"/>
      <c r="Q170" s="18"/>
      <c r="R170" s="18"/>
    </row>
    <row r="171" spans="1:18" ht="15.75" customHeight="1">
      <c r="A171" s="18"/>
      <c r="J171" s="18"/>
      <c r="K171" s="18"/>
      <c r="L171" s="18"/>
      <c r="M171" s="18"/>
      <c r="N171" s="18"/>
      <c r="O171" s="18"/>
      <c r="P171" s="18"/>
      <c r="Q171" s="18"/>
      <c r="R171" s="18"/>
    </row>
    <row r="172" spans="1:18" ht="15.75" customHeight="1">
      <c r="A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1:18" ht="15.75" customHeight="1">
      <c r="A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 spans="1:18" ht="15.75" customHeight="1">
      <c r="A174" s="18"/>
      <c r="J174" s="18"/>
      <c r="K174" s="18"/>
      <c r="L174" s="18"/>
      <c r="M174" s="18"/>
      <c r="N174" s="18"/>
      <c r="O174" s="18"/>
      <c r="P174" s="18"/>
      <c r="Q174" s="18"/>
      <c r="R174" s="18"/>
    </row>
    <row r="175" spans="1:18" ht="15.75" customHeight="1">
      <c r="A175" s="18"/>
      <c r="J175" s="18"/>
      <c r="K175" s="18"/>
      <c r="L175" s="18"/>
      <c r="M175" s="18"/>
      <c r="N175" s="18"/>
      <c r="O175" s="18"/>
      <c r="P175" s="18"/>
      <c r="Q175" s="18"/>
      <c r="R175" s="18"/>
    </row>
    <row r="176" spans="1:18" ht="15.75" customHeight="1">
      <c r="A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1:18" ht="15.75" customHeight="1">
      <c r="A177" s="18"/>
      <c r="J177" s="18"/>
      <c r="K177" s="18"/>
      <c r="L177" s="18"/>
      <c r="M177" s="18"/>
      <c r="N177" s="18"/>
      <c r="O177" s="18"/>
      <c r="P177" s="18"/>
      <c r="Q177" s="18"/>
      <c r="R177" s="18"/>
    </row>
    <row r="178" spans="1:18" ht="15.75" customHeight="1">
      <c r="A178" s="18"/>
      <c r="J178" s="18"/>
      <c r="K178" s="18"/>
      <c r="L178" s="18"/>
      <c r="M178" s="18"/>
      <c r="N178" s="18"/>
      <c r="O178" s="18"/>
      <c r="P178" s="18"/>
      <c r="Q178" s="18"/>
      <c r="R178" s="18"/>
    </row>
    <row r="179" spans="1:18" ht="15.75" customHeight="1">
      <c r="A179" s="18"/>
      <c r="J179" s="18"/>
      <c r="K179" s="18"/>
      <c r="L179" s="18"/>
      <c r="M179" s="18"/>
      <c r="N179" s="18"/>
      <c r="O179" s="18"/>
      <c r="P179" s="18"/>
      <c r="Q179" s="18"/>
      <c r="R179" s="18"/>
    </row>
    <row r="180" spans="1:18" ht="15.75" customHeight="1">
      <c r="A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1:18" ht="15.75" customHeight="1">
      <c r="A181" s="18"/>
      <c r="J181" s="18"/>
      <c r="K181" s="18"/>
      <c r="L181" s="18"/>
      <c r="M181" s="18"/>
      <c r="N181" s="18"/>
      <c r="O181" s="18"/>
      <c r="P181" s="18"/>
      <c r="Q181" s="18"/>
      <c r="R181" s="18"/>
    </row>
    <row r="182" spans="1:18" ht="15.75" customHeight="1">
      <c r="A182" s="18"/>
      <c r="J182" s="18"/>
      <c r="K182" s="18"/>
      <c r="L182" s="18"/>
      <c r="M182" s="18"/>
      <c r="N182" s="18"/>
      <c r="O182" s="18"/>
      <c r="P182" s="18"/>
      <c r="Q182" s="18"/>
      <c r="R182" s="18"/>
    </row>
    <row r="183" spans="1:18" ht="15.75" customHeight="1">
      <c r="A183" s="18"/>
      <c r="J183" s="18"/>
      <c r="K183" s="18"/>
      <c r="L183" s="18"/>
      <c r="M183" s="18"/>
      <c r="N183" s="18"/>
      <c r="O183" s="18"/>
      <c r="P183" s="18"/>
      <c r="Q183" s="18"/>
      <c r="R183" s="18"/>
    </row>
    <row r="184" spans="1:18" ht="15.75" customHeight="1">
      <c r="A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1:18" ht="15.75" customHeight="1">
      <c r="A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 spans="1:18" ht="15.75" customHeight="1">
      <c r="A186" s="18"/>
      <c r="J186" s="18"/>
      <c r="K186" s="18"/>
      <c r="L186" s="18"/>
      <c r="M186" s="18"/>
      <c r="N186" s="18"/>
      <c r="O186" s="18"/>
      <c r="P186" s="18"/>
      <c r="Q186" s="18"/>
      <c r="R186" s="18"/>
    </row>
    <row r="187" spans="1:18" ht="15.75" customHeight="1">
      <c r="A187" s="18"/>
      <c r="J187" s="18"/>
      <c r="K187" s="18"/>
      <c r="L187" s="18"/>
      <c r="M187" s="18"/>
      <c r="N187" s="18"/>
      <c r="O187" s="18"/>
      <c r="P187" s="18"/>
      <c r="Q187" s="18"/>
      <c r="R187" s="18"/>
    </row>
    <row r="188" spans="1:18" ht="15.75" customHeight="1">
      <c r="A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1:18" ht="15.75" customHeight="1">
      <c r="A189" s="18"/>
      <c r="J189" s="18"/>
      <c r="K189" s="18"/>
      <c r="L189" s="18"/>
      <c r="M189" s="18"/>
      <c r="N189" s="18"/>
      <c r="O189" s="18"/>
      <c r="P189" s="18"/>
      <c r="Q189" s="18"/>
      <c r="R189" s="18"/>
    </row>
    <row r="190" spans="1:18" ht="15.75" customHeight="1">
      <c r="A190" s="18"/>
      <c r="J190" s="18"/>
      <c r="K190" s="18"/>
      <c r="L190" s="18"/>
      <c r="M190" s="18"/>
      <c r="N190" s="18"/>
      <c r="O190" s="18"/>
      <c r="P190" s="18"/>
      <c r="Q190" s="18"/>
      <c r="R190" s="18"/>
    </row>
    <row r="191" spans="1:18" ht="15.75" customHeight="1">
      <c r="A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 spans="1:18" ht="15.75" customHeight="1">
      <c r="A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1:18" ht="15.75" customHeight="1">
      <c r="A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 spans="1:18" ht="15.75" customHeight="1">
      <c r="A194" s="18"/>
      <c r="J194" s="18"/>
      <c r="K194" s="18"/>
      <c r="L194" s="18"/>
      <c r="M194" s="18"/>
      <c r="N194" s="18"/>
      <c r="O194" s="18"/>
      <c r="P194" s="18"/>
      <c r="Q194" s="18"/>
      <c r="R194" s="18"/>
    </row>
    <row r="195" spans="1:18" ht="15.75" customHeight="1">
      <c r="A195" s="18"/>
      <c r="J195" s="18"/>
      <c r="K195" s="18"/>
      <c r="L195" s="18"/>
      <c r="M195" s="18"/>
      <c r="N195" s="18"/>
      <c r="O195" s="18"/>
      <c r="P195" s="18"/>
      <c r="Q195" s="18"/>
      <c r="R195" s="18"/>
    </row>
    <row r="196" spans="1:18" ht="15.75" customHeight="1">
      <c r="A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1:18" ht="15.75" customHeight="1">
      <c r="A197" s="18"/>
      <c r="J197" s="18"/>
      <c r="K197" s="18"/>
      <c r="L197" s="18"/>
      <c r="M197" s="18"/>
      <c r="N197" s="18"/>
      <c r="O197" s="18"/>
      <c r="P197" s="18"/>
      <c r="Q197" s="18"/>
      <c r="R197" s="18"/>
    </row>
    <row r="198" spans="1:18" ht="15.75" customHeight="1">
      <c r="A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spans="1:18" ht="15.75" customHeight="1">
      <c r="A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 spans="1:18" ht="15.75" customHeight="1">
      <c r="A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spans="1:18" ht="15.75" customHeight="1">
      <c r="A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 spans="1:18" ht="15.75" customHeight="1">
      <c r="A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 spans="1:18" ht="15.75" customHeight="1">
      <c r="A203" s="18"/>
      <c r="J203" s="18"/>
      <c r="K203" s="18"/>
      <c r="L203" s="18"/>
      <c r="M203" s="18"/>
      <c r="N203" s="18"/>
      <c r="O203" s="18"/>
      <c r="P203" s="18"/>
      <c r="Q203" s="18"/>
      <c r="R203" s="18"/>
    </row>
    <row r="204" spans="1:18" ht="15.75" customHeight="1">
      <c r="A204" s="18"/>
      <c r="J204" s="18"/>
      <c r="K204" s="18"/>
      <c r="L204" s="18"/>
      <c r="M204" s="18"/>
      <c r="N204" s="18"/>
      <c r="O204" s="18"/>
      <c r="P204" s="18"/>
      <c r="Q204" s="18"/>
      <c r="R204" s="18"/>
    </row>
    <row r="205" spans="1:18" ht="15.75" customHeight="1">
      <c r="A205" s="18"/>
      <c r="J205" s="18"/>
      <c r="K205" s="18"/>
      <c r="L205" s="18"/>
      <c r="M205" s="18"/>
      <c r="N205" s="18"/>
      <c r="O205" s="18"/>
      <c r="P205" s="18"/>
      <c r="Q205" s="18"/>
      <c r="R205" s="18"/>
    </row>
    <row r="206" spans="1:18" ht="15.75" customHeight="1">
      <c r="A206" s="18"/>
      <c r="J206" s="18"/>
      <c r="K206" s="18"/>
      <c r="L206" s="18"/>
      <c r="M206" s="18"/>
      <c r="N206" s="18"/>
      <c r="O206" s="18"/>
      <c r="P206" s="18"/>
      <c r="Q206" s="18"/>
      <c r="R206" s="18"/>
    </row>
    <row r="207" spans="1:18" ht="15.75" customHeight="1">
      <c r="A207" s="18"/>
      <c r="J207" s="18"/>
      <c r="K207" s="18"/>
      <c r="L207" s="18"/>
      <c r="M207" s="18"/>
      <c r="N207" s="18"/>
      <c r="O207" s="18"/>
      <c r="P207" s="18"/>
      <c r="Q207" s="18"/>
      <c r="R207" s="18"/>
    </row>
    <row r="208" spans="1:18" ht="15.75" customHeight="1">
      <c r="A208" s="18"/>
      <c r="J208" s="18"/>
      <c r="K208" s="18"/>
      <c r="L208" s="18"/>
      <c r="M208" s="18"/>
      <c r="N208" s="18"/>
      <c r="O208" s="18"/>
      <c r="P208" s="18"/>
      <c r="Q208" s="18"/>
      <c r="R208" s="18"/>
    </row>
    <row r="209" spans="1:18" ht="15.75" customHeight="1">
      <c r="A209" s="18"/>
      <c r="J209" s="18"/>
      <c r="K209" s="18"/>
      <c r="L209" s="18"/>
      <c r="M209" s="18"/>
      <c r="N209" s="18"/>
      <c r="O209" s="18"/>
      <c r="P209" s="18"/>
      <c r="Q209" s="18"/>
      <c r="R209" s="18"/>
    </row>
    <row r="210" spans="1:18" ht="15.75" customHeight="1">
      <c r="A210" s="18"/>
      <c r="J210" s="18"/>
      <c r="K210" s="18"/>
      <c r="L210" s="18"/>
      <c r="M210" s="18"/>
      <c r="N210" s="18"/>
      <c r="O210" s="18"/>
      <c r="P210" s="18"/>
      <c r="Q210" s="18"/>
      <c r="R210" s="18"/>
    </row>
    <row r="211" spans="1:18" ht="15.75" customHeight="1">
      <c r="A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 spans="1:18" ht="15.75" customHeight="1">
      <c r="A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1:18" ht="15.75" customHeight="1">
      <c r="A213" s="18"/>
      <c r="J213" s="18"/>
      <c r="K213" s="18"/>
      <c r="L213" s="18"/>
      <c r="M213" s="18"/>
      <c r="N213" s="18"/>
      <c r="O213" s="18"/>
      <c r="P213" s="18"/>
      <c r="Q213" s="18"/>
      <c r="R213" s="18"/>
    </row>
    <row r="214" spans="1:18" ht="15.75" customHeight="1">
      <c r="A214" s="18"/>
      <c r="J214" s="18"/>
      <c r="K214" s="18"/>
      <c r="L214" s="18"/>
      <c r="M214" s="18"/>
      <c r="N214" s="18"/>
      <c r="O214" s="18"/>
      <c r="P214" s="18"/>
      <c r="Q214" s="18"/>
      <c r="R214" s="18"/>
    </row>
    <row r="215" spans="1:18" ht="15.75" customHeight="1">
      <c r="A215" s="18"/>
      <c r="J215" s="18"/>
      <c r="K215" s="18"/>
      <c r="L215" s="18"/>
      <c r="M215" s="18"/>
      <c r="N215" s="18"/>
      <c r="O215" s="18"/>
      <c r="P215" s="18"/>
      <c r="Q215" s="18"/>
      <c r="R215" s="18"/>
    </row>
    <row r="216" spans="1:18" ht="15.75" customHeight="1">
      <c r="A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1:18" ht="15.75" customHeight="1">
      <c r="A217" s="18"/>
      <c r="J217" s="18"/>
      <c r="K217" s="18"/>
      <c r="L217" s="18"/>
      <c r="M217" s="18"/>
      <c r="N217" s="18"/>
      <c r="O217" s="18"/>
      <c r="P217" s="18"/>
      <c r="Q217" s="18"/>
      <c r="R217" s="18"/>
    </row>
    <row r="218" spans="1:18" ht="15.75" customHeight="1">
      <c r="A218" s="18"/>
      <c r="J218" s="18"/>
      <c r="K218" s="18"/>
      <c r="L218" s="18"/>
      <c r="M218" s="18"/>
      <c r="N218" s="18"/>
      <c r="O218" s="18"/>
      <c r="P218" s="18"/>
      <c r="Q218" s="18"/>
      <c r="R218" s="18"/>
    </row>
    <row r="219" spans="1:18" ht="15.75" customHeight="1">
      <c r="A219" s="18"/>
      <c r="J219" s="18"/>
      <c r="K219" s="18"/>
      <c r="L219" s="18"/>
      <c r="M219" s="18"/>
      <c r="N219" s="18"/>
      <c r="O219" s="18"/>
      <c r="P219" s="18"/>
      <c r="Q219" s="18"/>
      <c r="R219" s="18"/>
    </row>
    <row r="220" spans="1:18" ht="15.75" customHeight="1">
      <c r="A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1:18" ht="15.75" customHeight="1">
      <c r="A221" s="18"/>
      <c r="J221" s="18"/>
      <c r="K221" s="18"/>
      <c r="L221" s="18"/>
      <c r="M221" s="18"/>
      <c r="N221" s="18"/>
      <c r="O221" s="18"/>
      <c r="P221" s="18"/>
      <c r="Q221" s="18"/>
      <c r="R221" s="18"/>
    </row>
    <row r="222" spans="1:18" ht="15.75" customHeight="1">
      <c r="A222" s="18"/>
      <c r="J222" s="18"/>
      <c r="K222" s="18"/>
      <c r="L222" s="18"/>
      <c r="M222" s="18"/>
      <c r="N222" s="18"/>
      <c r="O222" s="18"/>
      <c r="P222" s="18"/>
      <c r="Q222" s="18"/>
      <c r="R222" s="18"/>
    </row>
    <row r="223" spans="1:18" ht="15.75" customHeight="1"/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0">
    <mergeCell ref="M1:N1"/>
    <mergeCell ref="O1:P1"/>
    <mergeCell ref="Z1:Z2"/>
    <mergeCell ref="B1:B2"/>
    <mergeCell ref="Q1:R1"/>
    <mergeCell ref="S1:S2"/>
    <mergeCell ref="T1:T2"/>
    <mergeCell ref="U1:U2"/>
    <mergeCell ref="V1:V2"/>
    <mergeCell ref="W1:W2"/>
    <mergeCell ref="X1:X2"/>
    <mergeCell ref="Y1:Y2"/>
    <mergeCell ref="D1:E1"/>
    <mergeCell ref="F1:G1"/>
    <mergeCell ref="A1:A2"/>
    <mergeCell ref="C1:C2"/>
    <mergeCell ref="I1:I2"/>
    <mergeCell ref="J1:J2"/>
    <mergeCell ref="K1:L1"/>
    <mergeCell ref="H1:H2"/>
  </mergeCells>
  <dataValidations count="2">
    <dataValidation type="list" allowBlank="1" showErrorMessage="1" sqref="J3:J8" xr:uid="{00000000-0002-0000-0000-000000000000}">
      <formula1>"Positive,Negative"</formula1>
    </dataValidation>
    <dataValidation type="list" allowBlank="1" showErrorMessage="1" sqref="Y3:Y5 W3:X10" xr:uid="{00000000-0002-0000-0000-000001000000}">
      <formula1>"Not Start,Inprogress,Failed,Passed,Skip"</formula1>
    </dataValidation>
  </dataValidations>
  <hyperlinks>
    <hyperlink ref="D4" r:id="rId1" xr:uid="{021C8042-A0F1-431F-832F-970CB07E2162}"/>
    <hyperlink ref="D5" r:id="rId2" xr:uid="{8EAE7D7C-BD37-44A9-8E3B-72F869DF5699}"/>
    <hyperlink ref="D3" r:id="rId3" xr:uid="{AC9D692E-57F7-4357-A163-8D71C3F34D27}"/>
    <hyperlink ref="F4" r:id="rId4" xr:uid="{559ED662-1964-4D6E-B39D-3DBBD6505D9A}"/>
    <hyperlink ref="F5" r:id="rId5" xr:uid="{CEB8C727-110A-4407-8ACA-22A7641E68FB}"/>
    <hyperlink ref="F3" r:id="rId6" xr:uid="{0CD72FB1-0972-4A6C-A7B6-3AC8FAA18BA8}"/>
    <hyperlink ref="F6" r:id="rId7" xr:uid="{7155BF8A-5C2C-435D-BA3F-DF4D351B4B0B}"/>
    <hyperlink ref="D6" r:id="rId8" xr:uid="{E3613ED5-6B3F-41A9-88C0-6D2E33E6E4A8}"/>
    <hyperlink ref="F7" r:id="rId9" xr:uid="{441B1957-41F9-4D0E-9B6A-8B85F645C228}"/>
    <hyperlink ref="D7" r:id="rId10" xr:uid="{3A1EAC7B-E68F-45B4-BC91-BAF0B059B974}"/>
    <hyperlink ref="D8" r:id="rId11" xr:uid="{F1C5FE94-0AB9-4C35-9C6F-4C6B3EFC8A2A}"/>
    <hyperlink ref="F8" r:id="rId12" xr:uid="{5C88314E-B752-45DB-9B77-F6A4C8516505}"/>
    <hyperlink ref="F9" r:id="rId13" xr:uid="{FEDCCBCD-1AFA-43B4-AC52-E84E0CF400BB}"/>
    <hyperlink ref="D9" r:id="rId14" xr:uid="{32E3017E-B582-47B8-99B6-CEF75AEB2239}"/>
    <hyperlink ref="F10" r:id="rId15" xr:uid="{2809DDA4-B9CB-4CFB-9BCC-9EC0C0AC88C4}"/>
    <hyperlink ref="D10" r:id="rId16" xr:uid="{AFEF142F-C5C6-4170-8622-69E9EA21DA8C}"/>
  </hyperlink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238801-fdbf-48e7-ad7a-fa95ffe1e2d8">
      <Terms xmlns="http://schemas.microsoft.com/office/infopath/2007/PartnerControls"/>
    </lcf76f155ced4ddcb4097134ff3c332f>
    <TaxCatchAll xmlns="b8dc7d78-3728-400f-ae92-b0db10cb70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60537B31A29749BF6C1BFDA4D9A5D4" ma:contentTypeVersion="11" ma:contentTypeDescription="Create a new document." ma:contentTypeScope="" ma:versionID="695c419b5e0679fa07d167faefefbc4d">
  <xsd:schema xmlns:xsd="http://www.w3.org/2001/XMLSchema" xmlns:xs="http://www.w3.org/2001/XMLSchema" xmlns:p="http://schemas.microsoft.com/office/2006/metadata/properties" xmlns:ns2="f4238801-fdbf-48e7-ad7a-fa95ffe1e2d8" xmlns:ns3="b8dc7d78-3728-400f-ae92-b0db10cb70d5" targetNamespace="http://schemas.microsoft.com/office/2006/metadata/properties" ma:root="true" ma:fieldsID="d84ed4d3c462b0244a2707733784458e" ns2:_="" ns3:_="">
    <xsd:import namespace="f4238801-fdbf-48e7-ad7a-fa95ffe1e2d8"/>
    <xsd:import namespace="b8dc7d78-3728-400f-ae92-b0db10cb7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38801-fdbf-48e7-ad7a-fa95ffe1e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1e4a55-089b-4a25-8dcc-f61471648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c7d78-3728-400f-ae92-b0db10cb70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5081bd-1069-4981-b561-32ed23c0ec8d}" ma:internalName="TaxCatchAll" ma:showField="CatchAllData" ma:web="b8dc7d78-3728-400f-ae92-b0db10cb7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2FE0CA-28C8-48C5-9F67-B52496807877}"/>
</file>

<file path=customXml/itemProps2.xml><?xml version="1.0" encoding="utf-8"?>
<ds:datastoreItem xmlns:ds="http://schemas.openxmlformats.org/officeDocument/2006/customXml" ds:itemID="{8C7A740A-ADBE-40D6-BBB3-7ABCDEFA84DA}"/>
</file>

<file path=customXml/itemProps3.xml><?xml version="1.0" encoding="utf-8"?>
<ds:datastoreItem xmlns:ds="http://schemas.openxmlformats.org/officeDocument/2006/customXml" ds:itemID="{8057B9FC-D2C4-464E-BCC6-3F0755D288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Wannapa Thongkham</cp:lastModifiedBy>
  <cp:revision/>
  <dcterms:created xsi:type="dcterms:W3CDTF">2026-02-28T17:21:30Z</dcterms:created>
  <dcterms:modified xsi:type="dcterms:W3CDTF">2026-05-13T05:56:03Z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0x0101004860537B31A29749BF6C1BFDA4D9A5D4</vt:lpwstr>
  </property>
  <property fmtid="{D5CDD505-2E9C-101B-9397-08002B2CF9AE}" pid="3" name="Order">
    <vt:r8>535900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Status">
    <vt:lpwstr>In progress</vt:lpwstr>
  </property>
  <property fmtid="{D5CDD505-2E9C-101B-9397-08002B2CF9AE}" pid="13" name="TemplateUrl">
    <vt:lpwstr/>
  </property>
</Properties>
</file>