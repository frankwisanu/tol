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xr:revisionPtr revIDLastSave="535" documentId="11_7D7D1CFE4D496EEBB1C9D91293B1A2C46E6A46A2" xr6:coauthVersionLast="47" xr6:coauthVersionMax="47" xr10:uidLastSave="{A3C4D979-943D-4FAE-B3D2-F0EB2F23D036}"/>
  <bookViews>
    <workbookView xWindow="0" yWindow="0" windowWidth="0" windowHeight="0" firstSheet="2" activeTab="1" xr2:uid="{00000000-000D-0000-FFFF-FFFF00000000}"/>
  </bookViews>
  <sheets>
    <sheet name="Scope Backlog 1.1" sheetId="3" r:id="rId1"/>
    <sheet name="Note" sheetId="2" r:id="rId2"/>
    <sheet name="Customer validation (TMH Valida" sheetId="1"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8" roundtripDataChecksum="srzBmBh9xi3tIKtIMEtKKppRF3GXy94He/LQ3WPrZsc="/>
    </ext>
  </extLst>
</workbook>
</file>

<file path=xl/calcChain.xml><?xml version="1.0" encoding="utf-8"?>
<calcChain xmlns="http://schemas.openxmlformats.org/spreadsheetml/2006/main">
  <c r="AB22" i="1" l="1"/>
  <c r="AA22" i="1"/>
  <c r="AA21" i="1"/>
  <c r="AB24" i="1"/>
  <c r="AA24" i="1"/>
  <c r="AB23" i="1"/>
  <c r="AA23" i="1"/>
  <c r="AB21" i="1"/>
  <c r="AB20" i="1"/>
  <c r="AA20" i="1"/>
  <c r="AB19" i="1"/>
  <c r="AA19" i="1"/>
  <c r="AA27" i="1" l="1"/>
  <c r="AB27" i="1"/>
</calcChain>
</file>

<file path=xl/sharedStrings.xml><?xml version="1.0" encoding="utf-8"?>
<sst xmlns="http://schemas.openxmlformats.org/spreadsheetml/2006/main" count="285" uniqueCount="120">
  <si>
    <t xml:space="preserve">1.ลูกค้าไม่เคยมีเบอร์ทรู  (ไม่เจอหน้า exsiting tmh)
-ocr -&gt; cf ข้อมูลจาก ocr -&gt; pop up error :  tmh validation not pass -&gt; กดตกลงเป็นหน้าขาว </t>
  </si>
  <si>
    <t>2.ลูกค้ามีเบอร์ทรู (เจอหน้า existing tmh)
-เลือกเปิดเบอร์ใหม่ -&gt; pop up error : tmh validation not pass -&gt; กดตกลง -&gt; ปิด pop up และแสดงหน้า exsiting tmh</t>
  </si>
  <si>
    <t>Funtion</t>
  </si>
  <si>
    <t>Refer epic Link</t>
  </si>
  <si>
    <t>Refer Backlog No.</t>
  </si>
  <si>
    <t>Test Result iOS</t>
  </si>
  <si>
    <t>Test Result Android</t>
  </si>
  <si>
    <t>Test Case No.</t>
  </si>
  <si>
    <t>Test Scenario</t>
  </si>
  <si>
    <t>Test Case Type</t>
  </si>
  <si>
    <t>Select Service Type</t>
  </si>
  <si>
    <t>ลูกค้ามี
Existing Number</t>
  </si>
  <si>
    <t>Select TMH number</t>
  </si>
  <si>
    <t>TMH Validation</t>
  </si>
  <si>
    <t>Description
 (Design Step)</t>
  </si>
  <si>
    <t>Expected Result</t>
  </si>
  <si>
    <t>Test Case written by</t>
  </si>
  <si>
    <t>Excute by</t>
  </si>
  <si>
    <t>Status iOS</t>
  </si>
  <si>
    <t xml:space="preserve">Status android </t>
  </si>
  <si>
    <t>Actual Result
 (Design Step)</t>
  </si>
  <si>
    <t>Link</t>
  </si>
  <si>
    <t>Details</t>
  </si>
  <si>
    <t>TOL</t>
  </si>
  <si>
    <t>TMH</t>
  </si>
  <si>
    <t>Yes</t>
  </si>
  <si>
    <t>No</t>
  </si>
  <si>
    <t>เบอร์เดิม</t>
  </si>
  <si>
    <t>เบอร์ใหม่</t>
  </si>
  <si>
    <t>Blacklist-ID</t>
  </si>
  <si>
    <t>Fraud</t>
  </si>
  <si>
    <t>3 Levels</t>
  </si>
  <si>
    <t>1 ID : 5 No.
≥ 5 SIM</t>
  </si>
  <si>
    <t>1 Passport : 3 No.
≥ 3 SIM</t>
  </si>
  <si>
    <t>register other No.
&lt; 45 days</t>
  </si>
  <si>
    <t>Check Max Allow
Request approval code</t>
  </si>
  <si>
    <t>Online channel THL-1089</t>
  </si>
  <si>
    <t>3.Register TOL/CVG via online channel</t>
  </si>
  <si>
    <t>iOS</t>
  </si>
  <si>
    <t>Version built:iOS TOL 73.3 (865)</t>
  </si>
  <si>
    <t>Android</t>
  </si>
  <si>
    <t>Version Built: 73.1.051116 (TOL-CICD) (308)</t>
  </si>
  <si>
    <t>ON_TMV_VAR_01</t>
  </si>
  <si>
    <t>Verify customer profile (TMV) in case :
 - Blacklist-ID</t>
  </si>
  <si>
    <t>Negative</t>
  </si>
  <si>
    <t>X</t>
  </si>
  <si>
    <t>1. Login One App
2. Press "ลงทะเบียนทรูออนไลน์" menu in the "บริการอื่นๆ" Category
3. Open GIS Web View and open oder on GIS Web View success
4. Navigate to Select type screen
     บริการหลัก
        - The system Auto default service type อินเทอร์เน็ต
     เลือกบริการเพิ่มเติม
       - User select : เบอร์มือถือ
5. Press รูปแบบการขาย ออนไลน์
6. Navigate to Customer ID Validation screen
     - Select card and Input Customer ID Same Location
7. Pass TOL Validation (NEW TOL)
8. Select New mobile on EXISTING TMH NUMBER (2P/4POTT)
9. Verify CUSTOMER ID VALIDATION FOR NEW TMH ONLY -  (2P/4POTT)</t>
  </si>
  <si>
    <t>Investigate the screen, Display error Msg. ขออภัยค่ะ เลขที่บัตรที่ใช้ลงทะเบียนของลูกค้า ไม่สามารถจดทะเบียนได้ กรุณาแจ้งลูกค้าติดต่อ Call Center ค่ะ
Refer Figma : https://www.figma.com/design/yjyoAP0EMDXJST790SY49T/ONE006-ONE-APP---TOL?node-id=2687-169520&amp;t=gmgAe4CrrorcgoGu-4
1.กรณีลูกค้าไม่เคยมีเบอร์ทรู (ไม่เจอหน้า existing tmh)
 - แสดงข้อความ error
 - กดตกลง กลับไปหน้า ONLINE CH: Customer Verification
 - Refer figma : https://www.figma.com/design/yjyoAP0EMDXJST790SY49T/ONE006-ONE-APP---TOL?node-id=4717-223668&amp;t=gmgAe4CrrorcgoGu-4
2.กรณีลูกค้ามีเบอร์ทรู (เจอหน้า EXISTING TMH NUMBER (2P/4POTT))
 - แสดงข้อความ error
 - กดตกลง -&gt; ปิด pop up และแสดงหน้า EXISTING TMH NUMBER (2P/4POTT)
 - Refer figma : https://www.figma.com/design/yjyoAP0EMDXJST790SY49T/ONE006-ONE-APP---TOL?node-id=2678-168056&amp;t=gmgAe4CrrorcgoGu-4</t>
  </si>
  <si>
    <t>Janjira Jankong</t>
  </si>
  <si>
    <t>Passed</t>
  </si>
  <si>
    <t>TMH Blacklist by ID
Thai ID: 1330884223375</t>
  </si>
  <si>
    <t>ON_TMV_VAR_02</t>
  </si>
  <si>
    <t>Verify customer profile (TMV) in case :
 - Fraud</t>
  </si>
  <si>
    <r>
      <rPr>
        <sz val="10"/>
        <color rgb="FF000000"/>
        <rFont val="Arial"/>
        <scheme val="minor"/>
      </rPr>
      <t>Investigate the screen, Display error Msg. ขออภัยค่ะ ไม่สามารถทำรายการได้
กรุณาตรวจสอบหมายเลขบัตร ที่ใช้ลงทะเบียน และลองใหม่อีกครั้งค่ะ
Refer figma : https://www.figma.com/design/yjyoAP0EMDXJST790SY49T/ONE006-ONE-APP---TOL?node-id=2687-169523&amp;t=gmgAe4CrrorcgoGu-4
1.กรณีลูกค้าไม่เคยมีเบอร์ทรู (ไม่เจอหน้า existing tmh)
 - แสดงข้อความ error
 - กดตกลง กลับไปหน้า ONLINE CH: Customer Verification
 - Refer figma : https://www.figma.com/design/yjyoAP0EMDXJST790SY49T/ONE006-ONE-APP---TOL?node-id=4717-223668&amp;t=gmgAe4CrrorcgoGu-4
2.กรณีลูกค้ามีเบอร์ทรู (เจอหน้า EXISTING TMH NUMBER (2P/4POTT))
 - แสดงข้อความ error
 - กดตกลง -&gt; ปิด pop up และแสดงหน้า EXISTING TMH NUMBER (2P/4POTT)
 - Refer figma : https://www.figma.com/design/yjyoAP0EMDXJST790SY49T/ONE006-ONE-APP---TOL?node-id=2678-168056&amp;t=gmgAe4CrrorcgoGu-4</t>
    </r>
  </si>
  <si>
    <t>TMH Fraud 
Thai ID: 8168184376191</t>
  </si>
  <si>
    <t>ON_TMV_VAR_03</t>
  </si>
  <si>
    <t>Verify customer profile (TMV) in case :
 - 3 Levels</t>
  </si>
  <si>
    <r>
      <rPr>
        <sz val="10"/>
        <color rgb="FF000000"/>
        <rFont val="Arial"/>
        <scheme val="minor"/>
      </rPr>
      <t>Investigate the screen, Display error Msg. ขออภัยค่ะ ไม่สามารถทำรายการได้
เนื่องจากเลขที่บัตรถูกล็อคโดยแอป 3 ชั้น กรุณาให้ลูกค้าปลดล็อคผ่านแอป 3 ชั้น ก่อนทำรายการค่ะ
Refer figma : https://www.figma.com/design/yjyoAP0EMDXJST790SY49T/ONE006-ONE-APP---TOL?node-id=2687-169526&amp;t=gmgAe4CrrorcgoGu-4
1.กรณีลูกค้าไม่เคยมีเบอร์ทรู (ไม่เจอหน้า existing tmh)
 - แสดงข้อความ error
 - กดตกลง กลับไปหน้า ONLINE CH: Customer Verification
 - Refer figma : https://www.figma.com/design/yjyoAP0EMDXJST790SY49T/ONE006-ONE-APP---TOL?node-id=4717-223668&amp;t=gmgAe4CrrorcgoGu-4
2.กรณีลูกค้ามีเบอร์ทรู (เจอหน้า EXISTING TMH NUMBER (2P/4POTT))
 - แสดงข้อความ error
 - กดตกลง -&gt; ปิด pop up และแสดงหน้า EXISTING TMH NUMBER (2P/4POTT)
 - Refer figma : https://www.figma.com/design/yjyoAP0EMDXJST790SY49T/ONE006-ONE-APP---TOL?node-id=2678-168056&amp;t=gmgAe4CrrorcgoGu-4</t>
    </r>
  </si>
  <si>
    <t>TMH 3 Level (บัตรถูกล็อกโดยแอพ3ชั้น)
Thai ID: 2262281525117</t>
  </si>
  <si>
    <t>Version built:iOS TOL 73.3 (866)</t>
  </si>
  <si>
    <t>Version Built: 73.3.052203 (TOL-CICD) (312)</t>
  </si>
  <si>
    <t>ON_TMV_VAR_04</t>
  </si>
  <si>
    <t>Verify customer profile (TMV) in case :
 - Register other No. &lt; 45 days</t>
  </si>
  <si>
    <t>1. Login One App
2. Press "ลงทะเบียนทรูออนไลน์" menu in the "บริการอื่นๆ" Category
3. Open GIS Web View and open oder on GIS Web View success
4. Pass Select type (Select 2P / 4POTT)
5. Pass Customer ID Verification
6. Pass TOL Validation (NEW TOL)
7. Call API tolGetTmhEligibility Pass 
    - select New mobile on เลือกเบอร์ทรูมูฟ เอช  เพื่อเข้าร่วมคอนเวอร์เจนซ์ screen</t>
  </si>
  <si>
    <r>
      <rPr>
        <sz val="10"/>
        <color rgb="FF000000"/>
        <rFont val="Arial"/>
        <scheme val="minor"/>
      </rPr>
      <t xml:space="preserve">Investigate the screen, Display error Msg. ขออภัยค่ะ ไม่สามารถทำรายการได้
กรุณาลองใหม่อีกครั้งค่ะ 
</t>
    </r>
    <r>
      <rPr>
        <sz val="10"/>
        <color rgb="FF0070C0"/>
        <rFont val="Arial"/>
        <scheme val="minor"/>
      </rPr>
      <t>กรณีลูกค้ามีเบอร์ทรู (เจอหน้า existing tmh)
 - แสดงข้อความ error
 - กดตกลง -&gt; ปิด pop up และแสดงหน้า exsiting tmh
 - Refer : https://www.figma.com/design/yjyoAP0EMDXJST790SY49T/ONE006-ONE-APP---TOL?node-id=2687-169555&amp;m</t>
    </r>
  </si>
  <si>
    <t>TMH Same ID register other No. &lt; 45 days
 Thai ID: 9237448067097
Name: ธารมิกา ศิลาดี
TMH: 0642270928
https://trueomx.atlassian.net/browse/THL-1351</t>
  </si>
  <si>
    <t>Version built:iOS TOL 73.3 (864)</t>
  </si>
  <si>
    <t>ON_TMV_VAR_05</t>
  </si>
  <si>
    <t>Verify customer profile (TMV) in case :
 - User External(Banana IT Outlet)
 - 1 Thai ID 5 No.</t>
  </si>
  <si>
    <t>1. Login One App
2. Press "ลงทะเบียนทรูออนไลน์" menu in the "บริการอื่นๆ" Category
3. Press ประเภทลูกค้า : ลูกค้าใหม่
4. Press "ลงทะเบียนทรูออนไลน์" menu for open GIS Web View and open oder on GIS Web View success
5. Navigate to Select type screen
     บริการหลัก
        - The system Auto default service type อินเทอร์เน็ต
     เลือกบริการเพิ่มเติม
       - User select : เบอร์มือถือ
6. Pass เลือกประเภทเอกสาร screen.
7. Pass รายละเอียดเอกสารยืนยันตัวตน
8. Pass Validate Cutomer TOL
9. select New mobile on เลือกเบอร์ทรูมูฟ เอช  เพื่อเข้าร่วมคอนเวอร์เจนซ์ screen</t>
  </si>
  <si>
    <r>
      <rPr>
        <sz val="10"/>
        <color rgb="FF000000"/>
        <rFont val="Arial"/>
        <scheme val="minor"/>
      </rPr>
      <t xml:space="preserve">Investigate the screen, Display error Msg. ขออภัยค่ะ ID นี้ มีการลงทะเบียนซิม
เกินจำนวนที่ทาง กสทช. กำหนด
ให้ทำได้ในช่องทางนี้ กรุณาติดต่อศูนย์บริการทุกสาขา เพื่อลงทะเบียนเลขหมายนี้แทนค่ะ 
Refer figma : https://www.figma.com/design/yjyoAP0EMDXJST790SY49T/ONE006-ONE-APP---TOL?node-id=2687-169544&amp;t=gmgAe4CrrorcgoGu-4
</t>
    </r>
    <r>
      <rPr>
        <sz val="10"/>
        <color rgb="FF0070C0"/>
        <rFont val="Arial"/>
        <scheme val="minor"/>
      </rPr>
      <t>กรณีลูกค้ามีเบอร์ทรู (เจอหน้า EXISTING TMH NUMBER (2P/4POTT))
 - แสดงข้อความ error
 - กดตกลง -&gt; ปิด pop up และแสดงหน้า EXISTING TMH NUMBER (2P/4POTT)
 - Refer figma : https://www.figma.com/design/yjyoAP0EMDXJST790SY49T/ONE006-ONE-APP---TOL?node-id=2678-168056&amp;t=gmgAe4CrrorcgoGu-4</t>
    </r>
  </si>
  <si>
    <t>Banana IT-Outlet
User : 0883961021
Pass : 111111
TMH = 5 Number ID card
Thai ID: 5567607775605</t>
  </si>
  <si>
    <t>Version built:iOS TOL 73.6 (870)</t>
  </si>
  <si>
    <t>Version Built: 73.8.060417 (TOL-1.1) (318)</t>
  </si>
  <si>
    <t>ON_TMV_VAR_06</t>
  </si>
  <si>
    <t>Verify customer profile (TMV) in case :
 - User Internal (CM Sale, VAN, True Partner, Branded)
 - 1 Thai ID 5 No.</t>
  </si>
  <si>
    <t>1.User lan บ้าน True ยังไม่เคยมีบน one app (Van,Branded)
2.ตรวจสอบพบว่า test ไม่ติด ID 5 Number (CM Sale, True Partner) ต้องหาค่าที่ config ของร้านว่าเปิดเบอร์ได้สูงสุดกี่เบอร์ &gt;&gt; 
*** Test By Proxyman ****
TMH = 5 Number ID card
Thai ID: 5567607775605</t>
  </si>
  <si>
    <t>ON_TMV_VAR_07</t>
  </si>
  <si>
    <t>Verify customer profile (TMV) in case :
 - User External(Banana IT Outlet)
 - Passport (3 No.)</t>
  </si>
  <si>
    <r>
      <rPr>
        <sz val="10"/>
        <color rgb="FF000000"/>
        <rFont val="Arial"/>
        <scheme val="minor"/>
      </rPr>
      <t xml:space="preserve">Investigate the screen, Display error Msg. ขออภัยค่ะ  ID นี้ ไม่สามารถลงทะเบียนซิมเพิ่มได้ เนื่องจากมีการลงทะเบียนซิม ครบจำนวนที่ทาง กสทช. กำหนดแล้วค่ะ
Refer figma: https://www.figma.com/design/yjyoAP0EMDXJST790SY49T/ONE006-ONE-APP---TOL?node-id=2687-169542&amp;t=fqEZinBb3EaEcFNK-4
</t>
    </r>
    <r>
      <rPr>
        <sz val="10"/>
        <color rgb="FF0070C0"/>
        <rFont val="Arial"/>
        <scheme val="minor"/>
      </rPr>
      <t>กรณีลูกค้ามีเบอร์ทรู (เจอหน้า EXISTING TMH NUMBER (2P/4POTT))
 - แสดงข้อความ error
 - กดตกลง -&gt; ปิด pop up และแสดงหน้า EXISTING TMH NUMBER (2P/4POTT)
 - Refer figma : https://www.figma.com/design/yjyoAP0EMDXJST790SY49T/ONE006-ONE-APP---TOL?node-id=2678-168056&amp;t=gmgAe4CrrorcgoGu-4</t>
    </r>
  </si>
  <si>
    <t>Banana IT-Outlet
User : 0883961021
Pass : 111111
TMH = 3 Number Passport
Passport : AC7890111</t>
  </si>
  <si>
    <t>ON_TMV_VAR_08</t>
  </si>
  <si>
    <t>Verify customer profile (TMV) in case :
 - User Internal (CM Sale, VAN, True Partner, Branded)
 - Passport (3 No.)</t>
  </si>
  <si>
    <r>
      <rPr>
        <sz val="10"/>
        <color rgb="FF000000"/>
        <rFont val="Tahoma"/>
      </rPr>
      <t xml:space="preserve">1.User lan บ้าน True ยังไม่เคยมีบน one app (Van,Branded)
2.ตรวจสอบพบว่า test ไม่ติด ID 3 Number (CM Sale, True Partner) 
</t>
    </r>
    <r>
      <rPr>
        <b/>
        <sz val="10"/>
        <color rgb="FFFF0000"/>
        <rFont val="Tahoma"/>
      </rPr>
      <t xml:space="preserve">
</t>
    </r>
    <r>
      <rPr>
        <sz val="10"/>
        <color rgb="FF000000"/>
        <rFont val="Tahoma"/>
      </rPr>
      <t>TMH = 3 Number Passport
Passport : AC7890111</t>
    </r>
  </si>
  <si>
    <t>ON_TMV_VAR_09</t>
  </si>
  <si>
    <t>Verify customer profile (TMV) in case :
 - Check Max Allow (Auto approve code Pass)</t>
  </si>
  <si>
    <t>Positive</t>
  </si>
  <si>
    <t>1. Login One App
2. Press "ลงทะเบียนทรูออนไลน์" menu in the "บริการอื่นๆ" Category
3. Open GIS Web View and open oder on GIS Web View success
4. Pass Select type (Select 2P / 4POTT)
5. Pass Customer ID Verification
6. Pass TOL Validation (NEW TOL)
7. Call API tolGetTmhEligibility Pass
8. Verify Customer id for TMH (tmhCustomerPreverify) not pass
9. Call API tmhVerifyAndGenAutoApproveCode Pass</t>
  </si>
  <si>
    <t xml:space="preserve">1.กรณีลูกค้าไม่เคยมีเบอร์ทรู (ไม่เจอหน้า existing tmh)
- Navigate to Customer Self-Verification QR / Ref Code : STAFF screen 
2.กรณีลูกค้ามีเบอร์ทรู (เจอหน้า existing tmh)
- Navigate to Customer Self-Verification QR / Ref Code : STAFF screen 
Refer : https://www.figma.com/design/yjyoAP0EMDXJST790SY49T/ONE006-ONE-APP---TOL?node-id=13800-83465&amp;m
</t>
  </si>
  <si>
    <r>
      <rPr>
        <sz val="10"/>
        <color rgb="FF000000"/>
        <rFont val="Tahoma"/>
      </rPr>
      <t>1.ใช้ rtr_code WHS แต่ว่ายังไม่ตก Error Max Allow
2.ใช้ Rtr_type True Partner,CMSale แล้ว แต่ยังไม่ติด Max Allow
3.ตรวจสอบพบว่า test ไม่ติด Max allow (CM Sale, True Partner) ต้องหาค่าที่ config ของร้านว่าเปิดเบอร์ได้สูงสุดกี่เบอร์ &gt;&gt;</t>
    </r>
    <r>
      <rPr>
        <b/>
        <sz val="10"/>
        <color rgb="FFFF0000"/>
        <rFont val="Tahoma"/>
      </rPr>
      <t xml:space="preserve"> </t>
    </r>
    <r>
      <rPr>
        <b/>
        <sz val="10"/>
        <color rgb="FF000000"/>
        <rFont val="Tahoma"/>
      </rPr>
      <t xml:space="preserve">config ได้แล้ว
</t>
    </r>
    <r>
      <rPr>
        <sz val="10"/>
        <color rgb="FF000000"/>
        <rFont val="Tahoma"/>
      </rPr>
      <t xml:space="preserve">
*** Test By Proxyman ****
User รองรับ Auto Approve
1.CMSale
0883961024
Pass : 111111
https://trueomx.atlassian.net/wiki/spaces/OA/pages/4850352163/User+for+Functional+SIT+on+APP+One
1 Thai ID มี 6 เบอร์ &gt;&gt; Done on 15 Sep 2025
Thai ID : </t>
    </r>
    <r>
      <rPr>
        <b/>
        <sz val="10"/>
        <color rgb="FF000000"/>
        <rFont val="Tahoma"/>
      </rPr>
      <t xml:space="preserve">8622702351204
</t>
    </r>
    <r>
      <rPr>
        <sz val="10"/>
        <color rgb="FF000000"/>
        <rFont val="Tahoma"/>
      </rPr>
      <t>Name : ทิพนารี อัครธานี
TMH#1 : 0642270220
SIM#1 : 896604452400008212
TMH#2 : 0642270221
SIM#2 : 896604452400008213
TMH#3 : 0642270222
SIM#3 : 896604452400008214
TMH#4 : 0642270223
SIM#4 : 896604452400008215
TMH#5 : 0642270224
SIM#5 : 896604452400008216
TMH#6 : 0642270225
SIM#6 : 896604452400008217</t>
    </r>
  </si>
  <si>
    <t>ON_TMV_VAR_10</t>
  </si>
  <si>
    <t>Verify customer profile (TMV) in case :
 - Check Max Allow (Auto approve not pass then Manual approval code but don't have approve code)</t>
  </si>
  <si>
    <t>1. Login One App
2. Press "ลงทะเบียนทรูออนไลน์" menu in the "บริการอื่นๆ" Category
3. Open GIS Web View and open oder on GIS Web View success
4. Pass Select type (Select 2P / 4POTT)
5. Pass Customer ID Verification
6. Pass TOL Validation (NEW TOL)
7. Call API tolGetTmhEligibility Pass
8. Verify Customer id for TMH (tmhCustomerPreverify) not pass
9. Call API tmhVerifyAndGenAutoApproveCode Not Pass</t>
  </si>
  <si>
    <t>Investigate the screen, Display error Msg. ขออภัยค่ะ ลูกค้ามีเลขหมายเกินจำนวนที่กำหนด กรุณาติดต่อ *1840 (สำหรับเบอร์ dtac) หรือ 9700 (สำหรับเบอร์ true) เพื่อตรวจสอบค่ะ 
1.กรณีลูกค้าไม่เคยมีเบอร์ทรู (ไม่เจอหน้า existing tmh)
 - แสดงข้อความ error
 - กดตกลง กลับไปหน้า ONLINE CH: Customer Verification
 - Refer figma : https://www.figma.com/design/yjyoAP0EMDXJST790SY49T/ONE006-ONE-APP---TOL?node-id=4717-223668&amp;t=gmgAe4CrrorcgoGu-4
2.กรณีลูกค้ามีเบอร์ทรู (เจอหน้า existing tmh)
 - แสดงข้อความ error
 - กดตกลง -&gt; ปิด pop up และแสดงหน้า exsiting tmh
Refer : https://www.figma.com/design/yjyoAP0EMDXJST790SY49T/ONE006-ONE-APP---TOL?node-id=2687-169564&amp;m</t>
  </si>
  <si>
    <r>
      <rPr>
        <sz val="10"/>
        <color rgb="FF000000"/>
        <rFont val="Tahoma"/>
      </rPr>
      <t xml:space="preserve">1.ใช้ rtr_code WHS แต่ว่ายังไม่ตก Error Max Allow
2.ใช้ Rtr_type True Partner,CMSale แล้ว แต่ยังไม่ติด Max Allow
3.ตรวจสอบพบว่า test ไม่ติด Max allow (CM Sale, True Partner) ต้องหาค่าที่ config ของร้านว่าเปิดเบอร์ได้สูงสุดกี่เบอร์ &gt;&gt; </t>
    </r>
    <r>
      <rPr>
        <b/>
        <sz val="10"/>
        <color rgb="FF000000"/>
        <rFont val="Tahoma"/>
      </rPr>
      <t xml:space="preserve">config ได้แล้ว
</t>
    </r>
    <r>
      <rPr>
        <sz val="10"/>
        <color rgb="FF000000"/>
        <rFont val="Tahoma"/>
      </rPr>
      <t xml:space="preserve">
User รองรับ Auto Approve
1.CMSale
0883961024
Pass : 111111
https://trueomx.atlassian.net/wiki/spaces/OA/pages/4850352163/User+for+Functional+SIT+on+APP+One
1 Thai ID มี 6 เบอร์ &gt;&gt; Done on 15 Sep 2025
Thai ID : </t>
    </r>
    <r>
      <rPr>
        <b/>
        <sz val="10"/>
        <color rgb="FF000000"/>
        <rFont val="Tahoma"/>
      </rPr>
      <t xml:space="preserve">8622702351204
</t>
    </r>
    <r>
      <rPr>
        <sz val="10"/>
        <color rgb="FF000000"/>
        <rFont val="Tahoma"/>
      </rPr>
      <t>Name : ทิพนารี อัครธานี
TMH#1 : 0642270220
SIM#1 : 896604452400008212
TMH#2 : 0642270221
SIM#2 : 896604452400008213
TMH#3 : 0642270222
SIM#3 : 896604452400008214
TMH#4 : 0642270223
SIM#4 : 896604452400008215
TMH#5 : 0642270224
SIM#5 : 896604452400008216
TMH#6 : 0642270225
SIM#6 : 896604452400008217</t>
    </r>
  </si>
  <si>
    <t>ON_TMV_VAR_11</t>
  </si>
  <si>
    <t>Verify navigate screen
 - Validate TMV profile pass</t>
  </si>
  <si>
    <t>1. Login One App
2. Press "ลงทะเบียนทรูออนไลน์" menu in the "บริการอื่นๆ" Category
3. Open GIS Web View and open oder on GIS Web View success
4. Pass Select type (Select 2P / 4POTT)
5. Pass Customer ID Verification
6. Pass TOL Validation (NEW TOL)
7. Call API tolGetTmhEligibility Pass
8. Verify Customer id for TMH (tmhCustomerPreverify and tmhPreverify) Pass</t>
  </si>
  <si>
    <t>- Navigate to existing TMH  incase have existing TMH status Active
- Navigate to Customer Self-Verification QR / Ref Code : STAFF screen incase not have existing TMH status Active
Refer : https://www.figma.com/design/yjyoAP0EMDXJST790SY49T/ONE006-ONE-APP---TOL?node-id=13800-83465&amp;m</t>
  </si>
  <si>
    <t xml:space="preserve">Thai ID : 2708346115156 มี Existing TMH
New ThaiID : 1909900362438
New ThaiID : 8052753970233
</t>
  </si>
  <si>
    <t>Summary</t>
  </si>
  <si>
    <t>Not Start</t>
  </si>
  <si>
    <t>Inprogress</t>
  </si>
  <si>
    <t>Skip</t>
  </si>
  <si>
    <t>Block</t>
  </si>
  <si>
    <t>Fail</t>
  </si>
  <si>
    <t>Pass</t>
  </si>
  <si>
    <t>Progress</t>
  </si>
  <si>
    <t>คุณมายด์ค่ะรบกวนสอบถามค่ะ Hataichanok Dumjun</t>
  </si>
  <si>
    <t>1.ร้านที่เปิด order สามารถ ทำ Auto Approve ได้ กรณี จะมี user ที่เป็น true partner, Van, CM Sale ใช่ไหมค่ะ</t>
  </si>
  <si>
    <t>Ans</t>
  </si>
  <si>
    <t>รองรับ Auto Approve ค่ะ ซึ่งกลุ่มที่จะโดน auto approve มี 4 กลุ่มคือ</t>
  </si>
  <si>
    <t>1.true partner</t>
  </si>
  <si>
    <t>2.cms</t>
  </si>
  <si>
    <t>3.van </t>
  </si>
  <si>
    <t>4.branded</t>
  </si>
  <si>
    <t>ถ้าจะเทส เทสได้แค่ 3 กลุ่มแรก กลุ่มสุดท้าย one ไม่รองรับ</t>
  </si>
  <si>
    <t> </t>
  </si>
  <si>
    <t>2.ร้านที่เปิด order ไม่สามารถ ทำ Auto Approve ได้ จะมี User ไหนบ้างหรือค่ะ</t>
  </si>
  <si>
    <t>นอกเหนือจากข้อ 1 ค่ะ ถ้าจะเทสบน UAT ไปเล่น key account เช่น banana it outlet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</si>
</sst>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rgb="FF000000"/>
      <name val="Arial"/>
      <scheme val="minor"/>
    </font>
    <font>
      <sz val="10"/>
      <color theme="1"/>
      <name val="Tahoma"/>
    </font>
    <font>
      <b/>
      <sz val="10"/>
      <color rgb="FF000000"/>
      <name val="Tahoma"/>
    </font>
    <font>
      <sz val="10"/>
      <color rgb="FF000000"/>
      <name val="Tahoma"/>
    </font>
    <font>
      <sz val="10"/>
      <color theme="1"/>
      <name val="Arial"/>
      <scheme val="minor"/>
    </font>
    <font>
      <b/>
      <sz val="10"/>
      <color theme="1"/>
      <name val="Tahoma"/>
    </font>
    <font>
      <sz val="10"/>
      <name val="Tahoma"/>
    </font>
    <font>
      <sz val="10"/>
      <color rgb="FFFF0000"/>
      <name val="Tahoma"/>
    </font>
    <font>
      <sz val="10"/>
      <color rgb="FF0070C0"/>
      <name val="Arial"/>
      <scheme val="minor"/>
    </font>
    <font>
      <b/>
      <sz val="10"/>
      <color rgb="FFFF0000"/>
      <name val="Tahoma"/>
    </font>
    <font>
      <b/>
      <sz val="10"/>
      <name val="Tahoma"/>
    </font>
    <font>
      <u/>
      <sz val="10"/>
      <color theme="10"/>
      <name val="Arial"/>
      <scheme val="minor"/>
    </font>
  </fonts>
  <fills count="13">
    <fill>
      <patternFill patternType="none"/>
    </fill>
    <fill>
      <patternFill patternType="gray125"/>
    </fill>
    <fill>
      <patternFill patternType="solid">
        <fgColor rgb="FF4A86E8"/>
        <bgColor rgb="FF4A86E8"/>
      </patternFill>
    </fill>
    <fill>
      <patternFill patternType="solid">
        <fgColor rgb="FFFCE5CD"/>
        <bgColor rgb="FFFCE5CD"/>
      </patternFill>
    </fill>
    <fill>
      <patternFill patternType="solid">
        <fgColor rgb="FFFFF2CC"/>
        <bgColor rgb="FFFFF2CC"/>
      </patternFill>
    </fill>
    <fill>
      <patternFill patternType="solid">
        <fgColor rgb="FFFFFFFF"/>
        <bgColor rgb="FFFFFFFF"/>
      </patternFill>
    </fill>
    <fill>
      <patternFill patternType="solid">
        <fgColor rgb="FFB7B7B7"/>
        <bgColor rgb="FFB7B7B7"/>
      </patternFill>
    </fill>
    <fill>
      <patternFill patternType="solid">
        <fgColor rgb="FF339966"/>
        <bgColor rgb="FF339966"/>
      </patternFill>
    </fill>
    <fill>
      <patternFill patternType="solid">
        <fgColor rgb="FFFFFF00"/>
        <bgColor rgb="FFFFFF00"/>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00B050"/>
        <bgColor indexed="64"/>
      </patternFill>
    </fill>
  </fills>
  <borders count="43">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bottom style="medium">
        <color rgb="FF000000"/>
      </bottom>
      <diagonal/>
    </border>
    <border>
      <left/>
      <right/>
      <top/>
      <bottom style="medium">
        <color rgb="FF000000"/>
      </bottom>
      <diagonal/>
    </border>
    <border>
      <left style="thin">
        <color rgb="FF000000"/>
      </left>
      <right style="medium">
        <color rgb="FF000000"/>
      </right>
      <top/>
      <bottom style="medium">
        <color rgb="FF000000"/>
      </bottom>
      <diagonal/>
    </border>
    <border>
      <left style="thin">
        <color rgb="FF000000"/>
      </left>
      <right/>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top style="thin">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thin">
        <color rgb="FF000000"/>
      </top>
      <bottom/>
      <diagonal/>
    </border>
    <border>
      <left style="medium">
        <color rgb="FF000000"/>
      </left>
      <right style="thin">
        <color rgb="FF000000"/>
      </right>
      <top/>
      <bottom/>
      <diagonal/>
    </border>
  </borders>
  <cellStyleXfs count="2">
    <xf numFmtId="0" fontId="0" fillId="0" borderId="0"/>
    <xf numFmtId="0" fontId="11" fillId="0" borderId="0" applyNumberFormat="0" applyFill="0" applyBorder="0" applyAlignment="0" applyProtection="0"/>
  </cellStyleXfs>
  <cellXfs count="108">
    <xf numFmtId="0" fontId="0" fillId="0" borderId="0" xfId="0"/>
    <xf numFmtId="0" fontId="1" fillId="0" borderId="22" xfId="0" applyFont="1" applyBorder="1" applyAlignment="1">
      <alignment vertical="top" wrapText="1"/>
    </xf>
    <xf numFmtId="0" fontId="2" fillId="8" borderId="28" xfId="0" applyFont="1" applyFill="1" applyBorder="1" applyAlignment="1">
      <alignment horizontal="center"/>
    </xf>
    <xf numFmtId="0" fontId="3" fillId="0" borderId="0" xfId="0" applyFont="1"/>
    <xf numFmtId="0" fontId="2" fillId="0" borderId="0" xfId="0" applyFont="1" applyAlignment="1">
      <alignment horizontal="center"/>
    </xf>
    <xf numFmtId="0" fontId="2" fillId="0" borderId="29" xfId="0" applyFont="1" applyBorder="1" applyAlignment="1">
      <alignment horizontal="center"/>
    </xf>
    <xf numFmtId="0" fontId="2" fillId="0" borderId="30" xfId="0" applyFont="1" applyBorder="1" applyAlignment="1">
      <alignment horizontal="right"/>
    </xf>
    <xf numFmtId="0" fontId="3" fillId="7" borderId="31" xfId="0" applyFont="1" applyFill="1" applyBorder="1" applyAlignment="1">
      <alignment horizontal="center"/>
    </xf>
    <xf numFmtId="0" fontId="4" fillId="0" borderId="0" xfId="0" applyFont="1"/>
    <xf numFmtId="0" fontId="1" fillId="0" borderId="0" xfId="0" applyFont="1" applyAlignment="1">
      <alignment horizontal="center" vertical="center"/>
    </xf>
    <xf numFmtId="0" fontId="5" fillId="4" borderId="12" xfId="0" applyFont="1" applyFill="1" applyBorder="1" applyAlignment="1">
      <alignment horizontal="center" vertical="center" wrapText="1"/>
    </xf>
    <xf numFmtId="0" fontId="5" fillId="4" borderId="13" xfId="0" applyFont="1" applyFill="1" applyBorder="1" applyAlignment="1">
      <alignment horizontal="center" vertical="center" wrapText="1"/>
    </xf>
    <xf numFmtId="0" fontId="1" fillId="0" borderId="0" xfId="0" applyFont="1" applyAlignment="1">
      <alignment vertical="top"/>
    </xf>
    <xf numFmtId="0" fontId="1" fillId="0" borderId="0" xfId="0" applyFont="1" applyAlignment="1">
      <alignment horizontal="center"/>
    </xf>
    <xf numFmtId="0" fontId="1" fillId="0" borderId="19" xfId="0" applyFont="1" applyBorder="1" applyAlignment="1">
      <alignment vertical="top" wrapText="1"/>
    </xf>
    <xf numFmtId="0" fontId="3" fillId="0" borderId="31" xfId="0" applyFont="1" applyBorder="1" applyAlignment="1">
      <alignment horizontal="center"/>
    </xf>
    <xf numFmtId="10" fontId="3" fillId="0" borderId="31" xfId="0" applyNumberFormat="1" applyFont="1" applyBorder="1" applyAlignment="1">
      <alignment horizontal="center"/>
    </xf>
    <xf numFmtId="0" fontId="3" fillId="0" borderId="22" xfId="0" applyFont="1" applyBorder="1" applyAlignment="1">
      <alignment vertical="top" wrapText="1"/>
    </xf>
    <xf numFmtId="0" fontId="2" fillId="8" borderId="28" xfId="0" applyFont="1" applyFill="1" applyBorder="1"/>
    <xf numFmtId="0" fontId="1" fillId="0" borderId="18" xfId="0" applyFont="1" applyBorder="1" applyAlignment="1">
      <alignment horizontal="center" vertical="top" wrapText="1"/>
    </xf>
    <xf numFmtId="0" fontId="1" fillId="0" borderId="19" xfId="0" applyFont="1" applyBorder="1" applyAlignment="1">
      <alignment vertical="top"/>
    </xf>
    <xf numFmtId="0" fontId="7" fillId="0" borderId="17" xfId="0" applyFont="1" applyBorder="1" applyAlignment="1">
      <alignment horizontal="center" vertical="top" wrapText="1"/>
    </xf>
    <xf numFmtId="0" fontId="1" fillId="5" borderId="18" xfId="0" applyFont="1" applyFill="1" applyBorder="1" applyAlignment="1">
      <alignment horizontal="center" vertical="top" wrapText="1"/>
    </xf>
    <xf numFmtId="0" fontId="1" fillId="5" borderId="20" xfId="0" applyFont="1" applyFill="1" applyBorder="1" applyAlignment="1">
      <alignment horizontal="center" vertical="top" wrapText="1"/>
    </xf>
    <xf numFmtId="0" fontId="1" fillId="5" borderId="19" xfId="0" applyFont="1" applyFill="1" applyBorder="1" applyAlignment="1">
      <alignment horizontal="center" vertical="top" wrapText="1"/>
    </xf>
    <xf numFmtId="0" fontId="1" fillId="0" borderId="21" xfId="0" applyFont="1" applyBorder="1" applyAlignment="1">
      <alignment horizontal="center" vertical="top" wrapText="1"/>
    </xf>
    <xf numFmtId="0" fontId="7" fillId="0" borderId="23" xfId="0" applyFont="1" applyBorder="1" applyAlignment="1">
      <alignment horizontal="center" vertical="top" wrapText="1"/>
    </xf>
    <xf numFmtId="0" fontId="1" fillId="5" borderId="21" xfId="0" applyFont="1" applyFill="1" applyBorder="1" applyAlignment="1">
      <alignment horizontal="center" vertical="top" wrapText="1"/>
    </xf>
    <xf numFmtId="0" fontId="1" fillId="6" borderId="24" xfId="0" applyFont="1" applyFill="1" applyBorder="1" applyAlignment="1">
      <alignment horizontal="center" vertical="top" wrapText="1"/>
    </xf>
    <xf numFmtId="0" fontId="1" fillId="5" borderId="24" xfId="0" applyFont="1" applyFill="1" applyBorder="1" applyAlignment="1">
      <alignment horizontal="center" vertical="top" wrapText="1"/>
    </xf>
    <xf numFmtId="0" fontId="1" fillId="5" borderId="22" xfId="0" applyFont="1" applyFill="1" applyBorder="1" applyAlignment="1">
      <alignment horizontal="center" vertical="top" wrapText="1"/>
    </xf>
    <xf numFmtId="0" fontId="1" fillId="0" borderId="22" xfId="0" applyFont="1" applyBorder="1" applyAlignment="1">
      <alignment vertical="top"/>
    </xf>
    <xf numFmtId="0" fontId="1" fillId="5" borderId="27" xfId="0" applyFont="1" applyFill="1" applyBorder="1" applyAlignment="1">
      <alignment horizontal="center" vertical="top" wrapText="1"/>
    </xf>
    <xf numFmtId="0" fontId="1" fillId="0" borderId="23" xfId="0" applyFont="1" applyBorder="1" applyAlignment="1">
      <alignment horizontal="center" vertical="top" wrapText="1"/>
    </xf>
    <xf numFmtId="0" fontId="1" fillId="6" borderId="27" xfId="0" applyFont="1" applyFill="1" applyBorder="1" applyAlignment="1">
      <alignment horizontal="center" vertical="top" wrapText="1"/>
    </xf>
    <xf numFmtId="0" fontId="1" fillId="6" borderId="22" xfId="0" applyFont="1" applyFill="1" applyBorder="1" applyAlignment="1">
      <alignment horizontal="center" vertical="top" wrapText="1"/>
    </xf>
    <xf numFmtId="0" fontId="2" fillId="0" borderId="0" xfId="0" applyFont="1"/>
    <xf numFmtId="0" fontId="3" fillId="0" borderId="22" xfId="0" applyFont="1" applyBorder="1" applyAlignment="1">
      <alignment horizontal="left" vertical="top" wrapText="1"/>
    </xf>
    <xf numFmtId="0" fontId="0" fillId="0" borderId="22" xfId="0" applyBorder="1" applyAlignment="1">
      <alignment vertical="top" wrapText="1"/>
    </xf>
    <xf numFmtId="0" fontId="1" fillId="0" borderId="29" xfId="0" applyFont="1" applyBorder="1" applyAlignment="1">
      <alignment vertical="top" wrapText="1"/>
    </xf>
    <xf numFmtId="0" fontId="1" fillId="0" borderId="31" xfId="0" applyFont="1" applyBorder="1" applyAlignment="1">
      <alignment vertical="top"/>
    </xf>
    <xf numFmtId="0" fontId="1" fillId="0" borderId="27" xfId="0" applyFont="1" applyBorder="1" applyAlignment="1">
      <alignment vertical="top"/>
    </xf>
    <xf numFmtId="0" fontId="1" fillId="0" borderId="25" xfId="0" applyFont="1" applyBorder="1" applyAlignment="1">
      <alignment vertical="top" wrapText="1"/>
    </xf>
    <xf numFmtId="0" fontId="1" fillId="0" borderId="22" xfId="0" quotePrefix="1" applyFont="1" applyBorder="1" applyAlignment="1">
      <alignment vertical="top" wrapText="1"/>
    </xf>
    <xf numFmtId="0" fontId="1" fillId="9" borderId="22" xfId="0" quotePrefix="1" applyFont="1" applyFill="1" applyBorder="1" applyAlignment="1">
      <alignment vertical="top" wrapText="1"/>
    </xf>
    <xf numFmtId="0" fontId="1" fillId="9" borderId="22" xfId="0" applyFont="1" applyFill="1" applyBorder="1" applyAlignment="1">
      <alignment vertical="top" wrapText="1"/>
    </xf>
    <xf numFmtId="0" fontId="5" fillId="4" borderId="11" xfId="0" applyFont="1" applyFill="1" applyBorder="1" applyAlignment="1">
      <alignment horizontal="center" vertical="center" wrapText="1"/>
    </xf>
    <xf numFmtId="0" fontId="0" fillId="0" borderId="22" xfId="0" applyBorder="1" applyAlignment="1">
      <alignment horizontal="left" vertical="top" wrapText="1"/>
    </xf>
    <xf numFmtId="0" fontId="3" fillId="0" borderId="25" xfId="0" applyFont="1" applyBorder="1" applyAlignment="1">
      <alignment horizontal="left" vertical="top" wrapText="1"/>
    </xf>
    <xf numFmtId="0" fontId="3" fillId="0" borderId="28" xfId="0" applyFont="1" applyBorder="1"/>
    <xf numFmtId="0" fontId="1" fillId="5" borderId="17" xfId="0" applyFont="1" applyFill="1" applyBorder="1" applyAlignment="1">
      <alignment horizontal="center" vertical="top"/>
    </xf>
    <xf numFmtId="0" fontId="1" fillId="5" borderId="23" xfId="0" applyFont="1" applyFill="1" applyBorder="1" applyAlignment="1">
      <alignment horizontal="center" vertical="top"/>
    </xf>
    <xf numFmtId="0" fontId="1" fillId="5" borderId="10" xfId="0" applyFont="1" applyFill="1" applyBorder="1" applyAlignment="1">
      <alignment horizontal="center" vertical="top" wrapText="1"/>
    </xf>
    <xf numFmtId="0" fontId="1" fillId="5" borderId="11" xfId="0" applyFont="1" applyFill="1" applyBorder="1" applyAlignment="1">
      <alignment horizontal="center" vertical="top" wrapText="1"/>
    </xf>
    <xf numFmtId="0" fontId="5" fillId="3" borderId="37" xfId="0" applyFont="1" applyFill="1" applyBorder="1" applyAlignment="1">
      <alignment horizontal="center" vertical="center" wrapText="1"/>
    </xf>
    <xf numFmtId="0" fontId="5" fillId="3" borderId="38"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3" borderId="39" xfId="0" applyFont="1" applyFill="1" applyBorder="1" applyAlignment="1">
      <alignment horizontal="center" vertical="center" wrapText="1"/>
    </xf>
    <xf numFmtId="0" fontId="1" fillId="5" borderId="31" xfId="0" applyFont="1" applyFill="1" applyBorder="1" applyAlignment="1">
      <alignment horizontal="center" vertical="top" wrapText="1"/>
    </xf>
    <xf numFmtId="0" fontId="1" fillId="9" borderId="24" xfId="0" applyFont="1" applyFill="1" applyBorder="1" applyAlignment="1">
      <alignment horizontal="center" vertical="top" wrapText="1"/>
    </xf>
    <xf numFmtId="0" fontId="1" fillId="9" borderId="21" xfId="0" applyFont="1" applyFill="1" applyBorder="1" applyAlignment="1">
      <alignment horizontal="center" vertical="top"/>
    </xf>
    <xf numFmtId="0" fontId="1" fillId="9" borderId="10" xfId="0" applyFont="1" applyFill="1" applyBorder="1" applyAlignment="1">
      <alignment horizontal="center" vertical="top" wrapText="1"/>
    </xf>
    <xf numFmtId="0" fontId="1" fillId="9" borderId="11" xfId="0" applyFont="1" applyFill="1" applyBorder="1" applyAlignment="1">
      <alignment horizontal="center" vertical="top" wrapText="1"/>
    </xf>
    <xf numFmtId="0" fontId="1" fillId="10" borderId="31" xfId="0" applyFont="1" applyFill="1" applyBorder="1" applyAlignment="1">
      <alignment horizontal="center" vertical="top" wrapText="1"/>
    </xf>
    <xf numFmtId="0" fontId="1" fillId="10" borderId="27" xfId="0" applyFont="1" applyFill="1" applyBorder="1" applyAlignment="1">
      <alignment horizontal="center" vertical="top" wrapText="1"/>
    </xf>
    <xf numFmtId="0" fontId="1" fillId="5" borderId="35" xfId="0" applyFont="1" applyFill="1" applyBorder="1" applyAlignment="1">
      <alignment horizontal="center" vertical="top"/>
    </xf>
    <xf numFmtId="0" fontId="1" fillId="10" borderId="13" xfId="0" applyFont="1" applyFill="1" applyBorder="1" applyAlignment="1">
      <alignment horizontal="center" vertical="top" wrapText="1"/>
    </xf>
    <xf numFmtId="0" fontId="5" fillId="4" borderId="6"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1" fillId="10" borderId="33" xfId="0" applyFont="1" applyFill="1" applyBorder="1" applyAlignment="1">
      <alignment horizontal="center" vertical="top" wrapText="1"/>
    </xf>
    <xf numFmtId="0" fontId="1" fillId="10" borderId="6" xfId="0" applyFont="1" applyFill="1" applyBorder="1" applyAlignment="1">
      <alignment horizontal="center" vertical="top" wrapText="1"/>
    </xf>
    <xf numFmtId="0" fontId="1" fillId="10" borderId="26" xfId="0" applyFont="1" applyFill="1" applyBorder="1" applyAlignment="1">
      <alignment horizontal="center" vertical="top" wrapText="1"/>
    </xf>
    <xf numFmtId="0" fontId="1" fillId="10" borderId="24" xfId="0" applyFont="1" applyFill="1" applyBorder="1" applyAlignment="1">
      <alignment horizontal="center" vertical="top" wrapText="1"/>
    </xf>
    <xf numFmtId="0" fontId="1" fillId="10" borderId="21" xfId="0" applyFont="1" applyFill="1" applyBorder="1" applyAlignment="1">
      <alignment horizontal="center" vertical="top" wrapText="1"/>
    </xf>
    <xf numFmtId="0" fontId="1" fillId="10" borderId="20" xfId="0" applyFont="1" applyFill="1" applyBorder="1" applyAlignment="1">
      <alignment horizontal="center" vertical="top" wrapText="1"/>
    </xf>
    <xf numFmtId="0" fontId="3" fillId="0" borderId="0" xfId="0" applyFont="1" applyAlignment="1">
      <alignment wrapText="1"/>
    </xf>
    <xf numFmtId="0" fontId="10" fillId="11" borderId="41" xfId="0" applyFont="1" applyFill="1" applyBorder="1" applyAlignment="1">
      <alignment horizontal="center" vertical="center"/>
    </xf>
    <xf numFmtId="0" fontId="3" fillId="0" borderId="28" xfId="0" applyFont="1" applyBorder="1" applyAlignment="1">
      <alignment wrapText="1"/>
    </xf>
    <xf numFmtId="0" fontId="1" fillId="12" borderId="19" xfId="0" applyFont="1" applyFill="1" applyBorder="1" applyAlignment="1">
      <alignment horizontal="center" vertical="top" wrapText="1"/>
    </xf>
    <xf numFmtId="0" fontId="3" fillId="0" borderId="19" xfId="0" applyFont="1" applyBorder="1" applyAlignment="1">
      <alignment vertical="top" wrapText="1"/>
    </xf>
    <xf numFmtId="0" fontId="3" fillId="9" borderId="22" xfId="0" applyFont="1" applyFill="1" applyBorder="1" applyAlignment="1">
      <alignment vertical="top" wrapText="1"/>
    </xf>
    <xf numFmtId="0" fontId="3" fillId="9" borderId="19" xfId="0" applyFont="1" applyFill="1" applyBorder="1" applyAlignment="1">
      <alignment vertical="top" wrapText="1"/>
    </xf>
    <xf numFmtId="0" fontId="3" fillId="0" borderId="23" xfId="0" applyFont="1" applyBorder="1" applyAlignment="1">
      <alignment vertical="top" wrapText="1" readingOrder="1"/>
    </xf>
    <xf numFmtId="0" fontId="3" fillId="0" borderId="22" xfId="0" applyFont="1" applyBorder="1" applyAlignment="1">
      <alignment horizontal="center" vertical="top" wrapText="1" readingOrder="1"/>
    </xf>
    <xf numFmtId="0" fontId="11" fillId="0" borderId="22" xfId="1" applyBorder="1" applyAlignment="1">
      <alignment horizontal="center" vertical="top"/>
    </xf>
    <xf numFmtId="0" fontId="5" fillId="2" borderId="2"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2" borderId="42"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4" borderId="3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11" borderId="22" xfId="0" applyFont="1" applyFill="1" applyBorder="1" applyAlignment="1">
      <alignment horizontal="center" vertical="center" wrapText="1"/>
    </xf>
    <xf numFmtId="0" fontId="5" fillId="2" borderId="5" xfId="0" applyFont="1" applyFill="1" applyBorder="1" applyAlignment="1">
      <alignment horizontal="center" vertical="center"/>
    </xf>
    <xf numFmtId="0" fontId="5" fillId="3" borderId="4"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0" borderId="3" xfId="0" applyFont="1" applyBorder="1" applyAlignment="1"/>
    <xf numFmtId="0" fontId="6" fillId="0" borderId="6" xfId="0" applyFont="1" applyBorder="1" applyAlignment="1"/>
    <xf numFmtId="0" fontId="6" fillId="0" borderId="36" xfId="0" applyFont="1" applyBorder="1" applyAlignment="1"/>
    <xf numFmtId="0" fontId="6" fillId="0" borderId="34" xfId="0" applyFont="1" applyBorder="1" applyAlignment="1"/>
    <xf numFmtId="0" fontId="6" fillId="0" borderId="7" xfId="0" applyFont="1" applyBorder="1" applyAlignment="1"/>
    <xf numFmtId="0" fontId="6" fillId="0" borderId="16" xfId="0" applyFont="1" applyBorder="1" applyAlignment="1"/>
    <xf numFmtId="0" fontId="6" fillId="0" borderId="8" xfId="0" applyFont="1" applyBorder="1" applyAlignment="1"/>
    <xf numFmtId="0" fontId="6" fillId="0" borderId="9" xfId="0" applyFont="1" applyBorder="1" applyAlignment="1"/>
    <xf numFmtId="0" fontId="6" fillId="0" borderId="14" xfId="0" applyFont="1" applyBorder="1" applyAlignment="1"/>
    <xf numFmtId="0" fontId="6" fillId="0" borderId="32" xfId="0" applyFont="1" applyBorder="1" applyAlignment="1"/>
    <xf numFmtId="0" fontId="6" fillId="0" borderId="15"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25" Type="http://schemas.openxmlformats.org/officeDocument/2006/relationships/customXml" Target="../customXml/item3.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24" Type="http://schemas.openxmlformats.org/officeDocument/2006/relationships/customXml" Target="../customXml/item2.xml"/><Relationship Id="rId23" Type="http://schemas.openxmlformats.org/officeDocument/2006/relationships/customXml" Target="../customXml/item1.xml"/><Relationship Id="rId19" Type="http://schemas.openxmlformats.org/officeDocument/2006/relationships/theme" Target="theme/theme1.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590550</xdr:colOff>
      <xdr:row>23</xdr:row>
      <xdr:rowOff>66675</xdr:rowOff>
    </xdr:to>
    <xdr:pic>
      <xdr:nvPicPr>
        <xdr:cNvPr id="2" name="Picture 1">
          <a:extLst>
            <a:ext uri="{FF2B5EF4-FFF2-40B4-BE49-F238E27FC236}">
              <a16:creationId xmlns:a16="http://schemas.microsoft.com/office/drawing/2014/main" id="{527D6324-2E05-4CD0-9A76-C2A989C16BF3}"/>
            </a:ext>
            <a:ext uri="{147F2762-F138-4A5C-976F-8EAC2B608ADB}">
              <a16:predDERef xmlns:a16="http://schemas.microsoft.com/office/drawing/2014/main" pred="{26FE263A-B2AB-5DB4-E683-863D4B68C382}"/>
            </a:ext>
          </a:extLst>
        </xdr:cNvPr>
        <xdr:cNvPicPr>
          <a:picLocks noChangeAspect="1"/>
        </xdr:cNvPicPr>
      </xdr:nvPicPr>
      <xdr:blipFill>
        <a:blip xmlns:r="http://schemas.openxmlformats.org/officeDocument/2006/relationships" r:embed="rId1"/>
        <a:stretch>
          <a:fillRect/>
        </a:stretch>
      </xdr:blipFill>
      <xdr:spPr>
        <a:xfrm>
          <a:off x="0" y="0"/>
          <a:ext cx="9124950" cy="37909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952500</xdr:colOff>
      <xdr:row>1</xdr:row>
      <xdr:rowOff>171450</xdr:rowOff>
    </xdr:from>
    <xdr:ext cx="5505450" cy="2828925"/>
    <xdr:pic>
      <xdr:nvPicPr>
        <xdr:cNvPr id="2" name="image1.png" title="รูปภาพ">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952500</xdr:colOff>
      <xdr:row>20</xdr:row>
      <xdr:rowOff>171450</xdr:rowOff>
    </xdr:from>
    <xdr:ext cx="4152900" cy="2819400"/>
    <xdr:pic>
      <xdr:nvPicPr>
        <xdr:cNvPr id="3" name="image9.png" title="รูปภาพ">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hyperlink" Target="https://truecorp.sharepoint.com/:f:/s/TrueCorp-TrueDtacTH-TotalAccessCommunicationPlc-TechM-Workingarea/IgBKDtgsVVZSQIIg4f1QxKAWAXjixKssndFaSEaDEBvxXMA?e=vjcYf3" TargetMode="External"/><Relationship Id="rId13" Type="http://schemas.openxmlformats.org/officeDocument/2006/relationships/hyperlink" Target="https://truecorp.sharepoint.com/:f:/s/TrueCorp-TrueDtacTH-TotalAccessCommunicationPlc-TechM-Workingarea/IgDWXvUZfh1KS7l9W6Hx-HD0ASdfkcETuAp207OT6hCQf3k?e=mdz00H" TargetMode="External"/><Relationship Id="rId18" Type="http://schemas.openxmlformats.org/officeDocument/2006/relationships/hyperlink" Target="https://truecorp.sharepoint.com/:f:/s/TrueCorp-TrueDtacTH-TotalAccessCommunicationPlc-TechM-Workingarea/IgChWOJcwH9BSqLkGEph83OcAWAf87iDonolZtNUqCgVpg8?e=XHRaj6" TargetMode="External"/><Relationship Id="rId3" Type="http://schemas.openxmlformats.org/officeDocument/2006/relationships/hyperlink" Target="https://truecorp.sharepoint.com/:f:/s/TrueCorp-TrueDtacTH-TotalAccessCommunicationPlc-TechM-Workingarea/IgBA04x59YvQSqexA9z3OBPMATx1CldIelFZqNoKwImHNbc?e=Dc2iFm" TargetMode="External"/><Relationship Id="rId21" Type="http://schemas.openxmlformats.org/officeDocument/2006/relationships/hyperlink" Target="https://truecorp.sharepoint.com/:f:/s/TrueCorp-TrueDtacTH-TotalAccessCommunicationPlc-TechM-Workingarea/IgAJU5UyiYhnRp4vYnMXR5NWAeknPW2VJcU_P79id3q21rk?e=C3ZFTH" TargetMode="External"/><Relationship Id="rId7" Type="http://schemas.openxmlformats.org/officeDocument/2006/relationships/hyperlink" Target="https://truecorp.sharepoint.com/:f:/s/TrueCorp-TrueDtacTH-TotalAccessCommunicationPlc-TechM-Workingarea/IgB51odb0IB3R5gEEp2YIokHAVdugXOfJBERkF-KQDC8TG4?e=gIClur" TargetMode="External"/><Relationship Id="rId12" Type="http://schemas.openxmlformats.org/officeDocument/2006/relationships/hyperlink" Target="https://truecorp.sharepoint.com/:f:/s/TrueCorp-TrueDtacTH-TotalAccessCommunicationPlc-TechM-Workingarea/IgAkeUYGUJJxQqfQ6zeWcI6FARceJGzd9uy1lXQ9NsauHuo?e=bo9fk6" TargetMode="External"/><Relationship Id="rId17" Type="http://schemas.openxmlformats.org/officeDocument/2006/relationships/hyperlink" Target="https://truecorp.sharepoint.com/:f:/s/TrueCorp-TrueDtacTH-TotalAccessCommunicationPlc-TechM-Workingarea/IgCz06nr1BgASo6c4HHfbmX5Abro5SIgdR7pKIaNf46jQI8?e=HcYPNW" TargetMode="External"/><Relationship Id="rId2" Type="http://schemas.openxmlformats.org/officeDocument/2006/relationships/hyperlink" Target="https://truecorp.sharepoint.com/:f:/s/TrueCorp-TrueDtacTH-TotalAccessCommunicationPlc-TechM-Workingarea/IgBQIWwlfFRBQZTELiSePwzmAZX5jfbTopt0o3aFqot_zvE?e=7mwWl5" TargetMode="External"/><Relationship Id="rId16" Type="http://schemas.openxmlformats.org/officeDocument/2006/relationships/hyperlink" Target="https://truecorp.sharepoint.com/:f:/s/TrueCorp-TrueDtacTH-TotalAccessCommunicationPlc-TechM-Workingarea/IgCPOLCfj09DRaQt-d-af8o4AVsvQPUUXxa43t0nq3sIuPM?e=Si6LA4" TargetMode="External"/><Relationship Id="rId20" Type="http://schemas.openxmlformats.org/officeDocument/2006/relationships/hyperlink" Target="https://truecorp.sharepoint.com/:f:/s/TrueCorp-TrueDtacTH-TotalAccessCommunicationPlc-TechM-Workingarea/IgAyHRVUhxvqRYX1eZ7Piy8-ARy8-dPPmruYzLormakP0CY?e=EYhJSj" TargetMode="External"/><Relationship Id="rId1" Type="http://schemas.openxmlformats.org/officeDocument/2006/relationships/hyperlink" Target="https://truecorp.sharepoint.com/:f:/s/TrueCorp-TrueDtacTH-TotalAccessCommunicationPlc-TechM-Workingarea/IgDMSHeInj34S50A2A1dGYw9AXw1mnO-xErUQij9nUoqxX8?e=8c85Hm" TargetMode="External"/><Relationship Id="rId6" Type="http://schemas.openxmlformats.org/officeDocument/2006/relationships/hyperlink" Target="https://truecorp.sharepoint.com/:f:/s/TrueCorp-TrueDtacTH-TotalAccessCommunicationPlc-TechM-Workingarea/IgCes4flBlbRSYTvQzKkb2bTAQfEEUgb6VLuZiiznbpB3do?e=FOMfbC" TargetMode="External"/><Relationship Id="rId11" Type="http://schemas.openxmlformats.org/officeDocument/2006/relationships/hyperlink" Target="https://truecorp.sharepoint.com/:f:/s/TrueCorp-TrueDtacTH-TotalAccessCommunicationPlc-TechM-Workingarea/IgAwahIPtt6JQZxb27DiXRWEASU4YbJCThzUnvixf_3PRVE?e=vsyvNp" TargetMode="External"/><Relationship Id="rId5" Type="http://schemas.openxmlformats.org/officeDocument/2006/relationships/hyperlink" Target="https://truecorp.sharepoint.com/:f:/s/TrueCorp-TrueDtacTH-TotalAccessCommunicationPlc-TechM-Workingarea/IgDcDhhY4-vsQbSS3_xxwfdGAa2zAwswi3EEBZ3v9OamHAs?e=PqziwD" TargetMode="External"/><Relationship Id="rId15" Type="http://schemas.openxmlformats.org/officeDocument/2006/relationships/hyperlink" Target="https://truecorp.sharepoint.com/:f:/s/TrueCorp-TrueDtacTH-TotalAccessCommunicationPlc-TechM-Workingarea/IgDvUyHURMMzSbU7vSxhdKmcAV3ysPJmo8bmITPUl-Cf13I?e=rA85yB" TargetMode="External"/><Relationship Id="rId10" Type="http://schemas.openxmlformats.org/officeDocument/2006/relationships/hyperlink" Target="https://truecorp.sharepoint.com/:f:/s/TrueCorp-TrueDtacTH-TotalAccessCommunicationPlc-TechM-Workingarea/IgCHzeHElDgoRJ_RM6QKtUf-AQ4bpChufQTLlzlMbiFxMfI?e=DiBatx" TargetMode="External"/><Relationship Id="rId19" Type="http://schemas.openxmlformats.org/officeDocument/2006/relationships/hyperlink" Target="https://truecorp.sharepoint.com/:f:/s/TrueCorp-TrueDtacTH-TotalAccessCommunicationPlc-TechM-Workingarea/IgC1WLq0S99BSYrqsQajZrIYAaEJI8CR9MZci_USLSfJtsU?e=DyowkQ" TargetMode="External"/><Relationship Id="rId4" Type="http://schemas.openxmlformats.org/officeDocument/2006/relationships/hyperlink" Target="https://truecorp.sharepoint.com/:f:/s/TrueCorp-TrueDtacTH-TotalAccessCommunicationPlc-TechM-Workingarea/IgD6fEfHxGWPRqUjhnD2yHgrAe0gHOgkAvGDhCscP7iM18g?e=DaUX6u" TargetMode="External"/><Relationship Id="rId9" Type="http://schemas.openxmlformats.org/officeDocument/2006/relationships/hyperlink" Target="https://truecorp.sharepoint.com/:f:/s/TrueCorp-TrueDtacTH-TotalAccessCommunicationPlc-TechM-Workingarea/IgCQq4u-6uQ-QZZjB06XR7SsAeOCHtPjUqQLNa1XQjpT8CA?e=UB5sMj" TargetMode="External"/><Relationship Id="rId14" Type="http://schemas.openxmlformats.org/officeDocument/2006/relationships/hyperlink" Target="https://truecorp.sharepoint.com/:f:/s/TrueCorp-TrueDtacTH-TotalAccessCommunicationPlc-TechM-Workingarea/IgAjqaeKehXeSpewabACrIJEAaP3MSxtmJ_dkhOUF3Ihdo8?e=rJu8Ye" TargetMode="External"/><Relationship Id="rId22" Type="http://schemas.openxmlformats.org/officeDocument/2006/relationships/hyperlink" Target="https://truecorp.sharepoint.com/:f:/s/TrueCorp-TrueDtacTH-TotalAccessCommunicationPlc-TechM-Workingarea/IgD8LMZURTMvTYyZIp70DqsgAcsj3YIKUarFR2Rv6YJmjFs?e=cfP3Pj"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65B2D-67A2-4179-AA1E-0FBD9434A294}">
  <dimension ref="A1"/>
  <sheetViews>
    <sheetView workbookViewId="0"/>
  </sheetViews>
  <sheetFormatPr defaultRowHeight="12.7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22"/>
  <sheetViews>
    <sheetView tabSelected="1" workbookViewId="0">
      <selection activeCell="M8" sqref="M8"/>
    </sheetView>
  </sheetViews>
  <sheetFormatPr defaultColWidth="12.5703125" defaultRowHeight="15" customHeight="1"/>
  <sheetData>
    <row r="1" spans="1:1">
      <c r="A1" s="8" t="s">
        <v>0</v>
      </c>
    </row>
    <row r="20" spans="1:1">
      <c r="A20" s="8" t="s">
        <v>1</v>
      </c>
    </row>
    <row r="22" spans="1:1">
      <c r="A22" s="8"/>
    </row>
  </sheetData>
  <pageMargins left="0" right="0" top="0" bottom="0" header="0" footer="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outlinePr summaryBelow="0" summaryRight="0"/>
  </sheetPr>
  <dimension ref="A1:AR1000"/>
  <sheetViews>
    <sheetView workbookViewId="0">
      <pane xSplit="10" ySplit="2" topLeftCell="K12" activePane="bottomRight" state="frozen"/>
      <selection pane="bottomRight" activeCell="Y4" sqref="Y4"/>
      <selection pane="bottomLeft" activeCell="A3" sqref="A3"/>
      <selection pane="topRight" activeCell="E1" sqref="E1"/>
    </sheetView>
  </sheetViews>
  <sheetFormatPr defaultColWidth="12.5703125" defaultRowHeight="15" customHeight="1"/>
  <cols>
    <col min="1" max="1" width="12.7109375" style="3" hidden="1" customWidth="1"/>
    <col min="2" max="2" width="33.42578125" style="3" hidden="1" customWidth="1"/>
    <col min="3" max="3" width="19.140625" style="75" customWidth="1"/>
    <col min="4" max="4" width="11.28515625" style="75" customWidth="1"/>
    <col min="5" max="5" width="21.28515625" style="75" customWidth="1"/>
    <col min="6" max="6" width="12.140625" style="75" customWidth="1"/>
    <col min="7" max="7" width="17" style="75" customWidth="1"/>
    <col min="8" max="8" width="16.7109375" style="3" customWidth="1"/>
    <col min="9" max="9" width="35" style="3" customWidth="1"/>
    <col min="10" max="10" width="11.28515625" style="3" customWidth="1"/>
    <col min="11" max="12" width="5.5703125" style="3" customWidth="1"/>
    <col min="13" max="16" width="5.42578125" style="3" customWidth="1"/>
    <col min="17" max="17" width="7.85546875" style="3" customWidth="1"/>
    <col min="18" max="18" width="5.7109375" style="3" customWidth="1"/>
    <col min="19" max="19" width="6.85546875" style="3" customWidth="1"/>
    <col min="20" max="20" width="8" style="3" customWidth="1"/>
    <col min="21" max="21" width="9.42578125" style="3" customWidth="1"/>
    <col min="22" max="22" width="8.5703125" style="3" customWidth="1"/>
    <col min="23" max="23" width="11.85546875" style="3" customWidth="1"/>
    <col min="24" max="24" width="62.140625" style="3" hidden="1" customWidth="1"/>
    <col min="25" max="25" width="60.7109375" style="3" customWidth="1"/>
    <col min="26" max="26" width="17.5703125" style="3" customWidth="1"/>
    <col min="27" max="27" width="21.28515625" style="3" customWidth="1"/>
    <col min="28" max="29" width="12.5703125" style="3"/>
    <col min="30" max="30" width="52.85546875" style="3" customWidth="1"/>
    <col min="31" max="16384" width="12.5703125" style="3"/>
  </cols>
  <sheetData>
    <row r="1" spans="1:44" ht="54" customHeight="1">
      <c r="A1" s="86" t="s">
        <v>2</v>
      </c>
      <c r="B1" s="90" t="s">
        <v>3</v>
      </c>
      <c r="C1" s="86" t="s">
        <v>4</v>
      </c>
      <c r="D1" s="93" t="s">
        <v>5</v>
      </c>
      <c r="E1" s="93"/>
      <c r="F1" s="93" t="s">
        <v>6</v>
      </c>
      <c r="G1" s="93"/>
      <c r="H1" s="85" t="s">
        <v>7</v>
      </c>
      <c r="I1" s="85" t="s">
        <v>8</v>
      </c>
      <c r="J1" s="87" t="s">
        <v>9</v>
      </c>
      <c r="K1" s="88" t="s">
        <v>10</v>
      </c>
      <c r="L1" s="97"/>
      <c r="M1" s="96" t="s">
        <v>11</v>
      </c>
      <c r="N1" s="98"/>
      <c r="O1" s="95" t="s">
        <v>12</v>
      </c>
      <c r="P1" s="97"/>
      <c r="Q1" s="91" t="s">
        <v>13</v>
      </c>
      <c r="R1" s="99"/>
      <c r="S1" s="99"/>
      <c r="T1" s="99"/>
      <c r="U1" s="99"/>
      <c r="V1" s="99"/>
      <c r="W1" s="100"/>
      <c r="X1" s="92" t="s">
        <v>14</v>
      </c>
      <c r="Y1" s="85" t="s">
        <v>15</v>
      </c>
      <c r="Z1" s="85" t="s">
        <v>16</v>
      </c>
      <c r="AA1" s="85" t="s">
        <v>17</v>
      </c>
      <c r="AB1" s="94" t="s">
        <v>18</v>
      </c>
      <c r="AC1" s="94" t="s">
        <v>19</v>
      </c>
      <c r="AD1" s="85" t="s">
        <v>20</v>
      </c>
      <c r="AE1" s="9"/>
      <c r="AF1" s="9"/>
      <c r="AG1" s="9"/>
      <c r="AH1" s="9"/>
      <c r="AI1" s="9"/>
      <c r="AJ1" s="9"/>
      <c r="AK1" s="9"/>
      <c r="AL1" s="9"/>
      <c r="AM1" s="9"/>
      <c r="AN1" s="9"/>
      <c r="AO1" s="9"/>
      <c r="AP1" s="9"/>
      <c r="AQ1" s="9"/>
      <c r="AR1" s="9"/>
    </row>
    <row r="2" spans="1:44" ht="69" customHeight="1">
      <c r="A2" s="101"/>
      <c r="B2" s="102"/>
      <c r="C2" s="89"/>
      <c r="D2" s="76" t="s">
        <v>21</v>
      </c>
      <c r="E2" s="76" t="s">
        <v>22</v>
      </c>
      <c r="F2" s="76" t="s">
        <v>21</v>
      </c>
      <c r="G2" s="76" t="s">
        <v>22</v>
      </c>
      <c r="H2" s="103"/>
      <c r="I2" s="103"/>
      <c r="J2" s="104"/>
      <c r="K2" s="54" t="s">
        <v>23</v>
      </c>
      <c r="L2" s="55" t="s">
        <v>24</v>
      </c>
      <c r="M2" s="56" t="s">
        <v>25</v>
      </c>
      <c r="N2" s="67" t="s">
        <v>26</v>
      </c>
      <c r="O2" s="68" t="s">
        <v>27</v>
      </c>
      <c r="P2" s="57" t="s">
        <v>28</v>
      </c>
      <c r="Q2" s="11" t="s">
        <v>29</v>
      </c>
      <c r="R2" s="10" t="s">
        <v>30</v>
      </c>
      <c r="S2" s="10" t="s">
        <v>31</v>
      </c>
      <c r="T2" s="10" t="s">
        <v>32</v>
      </c>
      <c r="U2" s="10" t="s">
        <v>33</v>
      </c>
      <c r="V2" s="10" t="s">
        <v>34</v>
      </c>
      <c r="W2" s="46" t="s">
        <v>35</v>
      </c>
      <c r="X2" s="105"/>
      <c r="Y2" s="106"/>
      <c r="Z2" s="103"/>
      <c r="AA2" s="103"/>
      <c r="AB2" s="107"/>
      <c r="AC2" s="107"/>
      <c r="AD2" s="103"/>
      <c r="AE2" s="9"/>
      <c r="AF2" s="9"/>
      <c r="AG2" s="9"/>
      <c r="AH2" s="9"/>
      <c r="AI2" s="9"/>
      <c r="AJ2" s="9"/>
      <c r="AK2" s="9"/>
      <c r="AL2" s="9"/>
      <c r="AM2" s="9"/>
      <c r="AN2" s="9"/>
      <c r="AO2" s="9"/>
      <c r="AP2" s="9"/>
      <c r="AQ2" s="9"/>
      <c r="AR2" s="9"/>
    </row>
    <row r="3" spans="1:44" ht="196.5" customHeight="1">
      <c r="A3" s="19" t="s">
        <v>13</v>
      </c>
      <c r="B3" s="33" t="s">
        <v>36</v>
      </c>
      <c r="C3" s="82" t="s">
        <v>37</v>
      </c>
      <c r="D3" s="84" t="s">
        <v>38</v>
      </c>
      <c r="E3" s="83" t="s">
        <v>39</v>
      </c>
      <c r="F3" s="84" t="s">
        <v>40</v>
      </c>
      <c r="G3" s="83" t="s">
        <v>41</v>
      </c>
      <c r="H3" s="40" t="s">
        <v>42</v>
      </c>
      <c r="I3" s="14" t="s">
        <v>43</v>
      </c>
      <c r="J3" s="21" t="s">
        <v>44</v>
      </c>
      <c r="K3" s="22" t="s">
        <v>45</v>
      </c>
      <c r="L3" s="50" t="s">
        <v>45</v>
      </c>
      <c r="M3" s="69"/>
      <c r="N3" s="70"/>
      <c r="O3" s="63"/>
      <c r="P3" s="23" t="s">
        <v>45</v>
      </c>
      <c r="Q3" s="58" t="s">
        <v>45</v>
      </c>
      <c r="R3" s="24"/>
      <c r="S3" s="24"/>
      <c r="T3" s="24"/>
      <c r="U3" s="24"/>
      <c r="V3" s="24"/>
      <c r="W3" s="23"/>
      <c r="X3" s="39" t="s">
        <v>46</v>
      </c>
      <c r="Y3" s="38" t="s">
        <v>47</v>
      </c>
      <c r="Z3" s="40" t="s">
        <v>48</v>
      </c>
      <c r="AA3" s="20"/>
      <c r="AB3" s="78" t="s">
        <v>49</v>
      </c>
      <c r="AC3" s="78" t="s">
        <v>49</v>
      </c>
      <c r="AD3" s="79" t="s">
        <v>50</v>
      </c>
      <c r="AE3" s="12"/>
      <c r="AF3" s="12"/>
      <c r="AG3" s="12"/>
      <c r="AH3" s="12"/>
      <c r="AI3" s="12"/>
      <c r="AJ3" s="12"/>
      <c r="AK3" s="12"/>
      <c r="AL3" s="12"/>
      <c r="AM3" s="12"/>
      <c r="AN3" s="12"/>
      <c r="AO3" s="12"/>
      <c r="AP3" s="12"/>
      <c r="AQ3" s="12"/>
      <c r="AR3" s="12"/>
    </row>
    <row r="4" spans="1:44" ht="198.75" customHeight="1">
      <c r="A4" s="25" t="s">
        <v>13</v>
      </c>
      <c r="B4" s="33" t="s">
        <v>36</v>
      </c>
      <c r="C4" s="82" t="s">
        <v>37</v>
      </c>
      <c r="D4" s="84" t="s">
        <v>38</v>
      </c>
      <c r="E4" s="83" t="s">
        <v>39</v>
      </c>
      <c r="F4" s="84" t="s">
        <v>40</v>
      </c>
      <c r="G4" s="83" t="s">
        <v>41</v>
      </c>
      <c r="H4" s="40" t="s">
        <v>51</v>
      </c>
      <c r="I4" s="1" t="s">
        <v>52</v>
      </c>
      <c r="J4" s="26" t="s">
        <v>44</v>
      </c>
      <c r="K4" s="27" t="s">
        <v>45</v>
      </c>
      <c r="L4" s="51" t="s">
        <v>45</v>
      </c>
      <c r="M4" s="71"/>
      <c r="N4" s="72"/>
      <c r="O4" s="64"/>
      <c r="P4" s="29" t="s">
        <v>45</v>
      </c>
      <c r="Q4" s="32"/>
      <c r="R4" s="30" t="s">
        <v>45</v>
      </c>
      <c r="S4" s="30"/>
      <c r="T4" s="30"/>
      <c r="U4" s="30"/>
      <c r="V4" s="30"/>
      <c r="W4" s="29"/>
      <c r="X4" s="39" t="s">
        <v>46</v>
      </c>
      <c r="Y4" s="38" t="s">
        <v>53</v>
      </c>
      <c r="Z4" s="41" t="s">
        <v>48</v>
      </c>
      <c r="AA4" s="20"/>
      <c r="AB4" s="78" t="s">
        <v>49</v>
      </c>
      <c r="AC4" s="78" t="s">
        <v>49</v>
      </c>
      <c r="AD4" s="79" t="s">
        <v>54</v>
      </c>
      <c r="AE4" s="12"/>
      <c r="AF4" s="12"/>
      <c r="AG4" s="12"/>
      <c r="AH4" s="12"/>
      <c r="AI4" s="12"/>
      <c r="AJ4" s="12"/>
      <c r="AK4" s="12"/>
      <c r="AL4" s="12"/>
      <c r="AM4" s="12"/>
      <c r="AN4" s="12"/>
      <c r="AO4" s="12"/>
      <c r="AP4" s="12"/>
      <c r="AQ4" s="12"/>
      <c r="AR4" s="12"/>
    </row>
    <row r="5" spans="1:44" ht="213.75" customHeight="1">
      <c r="A5" s="25" t="s">
        <v>13</v>
      </c>
      <c r="B5" s="33" t="s">
        <v>36</v>
      </c>
      <c r="C5" s="82" t="s">
        <v>37</v>
      </c>
      <c r="D5" s="84" t="s">
        <v>38</v>
      </c>
      <c r="E5" s="83" t="s">
        <v>39</v>
      </c>
      <c r="F5" s="84" t="s">
        <v>40</v>
      </c>
      <c r="G5" s="83" t="s">
        <v>41</v>
      </c>
      <c r="H5" s="40" t="s">
        <v>55</v>
      </c>
      <c r="I5" s="1" t="s">
        <v>56</v>
      </c>
      <c r="J5" s="26" t="s">
        <v>44</v>
      </c>
      <c r="K5" s="27" t="s">
        <v>45</v>
      </c>
      <c r="L5" s="51" t="s">
        <v>45</v>
      </c>
      <c r="M5" s="73"/>
      <c r="N5" s="74"/>
      <c r="O5" s="64"/>
      <c r="P5" s="29" t="s">
        <v>45</v>
      </c>
      <c r="Q5" s="32"/>
      <c r="R5" s="30"/>
      <c r="S5" s="30" t="s">
        <v>45</v>
      </c>
      <c r="T5" s="30"/>
      <c r="U5" s="30"/>
      <c r="V5" s="30"/>
      <c r="W5" s="29"/>
      <c r="X5" s="39" t="s">
        <v>46</v>
      </c>
      <c r="Y5" s="47" t="s">
        <v>57</v>
      </c>
      <c r="Z5" s="41" t="s">
        <v>48</v>
      </c>
      <c r="AA5" s="20"/>
      <c r="AB5" s="78" t="s">
        <v>49</v>
      </c>
      <c r="AC5" s="78" t="s">
        <v>49</v>
      </c>
      <c r="AD5" s="1" t="s">
        <v>58</v>
      </c>
      <c r="AE5" s="12"/>
      <c r="AF5" s="12"/>
      <c r="AG5" s="12"/>
      <c r="AH5" s="12"/>
      <c r="AI5" s="12"/>
      <c r="AJ5" s="12"/>
      <c r="AK5" s="12"/>
      <c r="AL5" s="12"/>
      <c r="AM5" s="12"/>
      <c r="AN5" s="12"/>
      <c r="AO5" s="12"/>
      <c r="AP5" s="12"/>
      <c r="AQ5" s="12"/>
      <c r="AR5" s="12"/>
    </row>
    <row r="6" spans="1:44" ht="102" customHeight="1">
      <c r="A6" s="25" t="s">
        <v>13</v>
      </c>
      <c r="B6" s="33" t="s">
        <v>36</v>
      </c>
      <c r="C6" s="82" t="s">
        <v>37</v>
      </c>
      <c r="D6" s="84" t="s">
        <v>38</v>
      </c>
      <c r="E6" s="83" t="s">
        <v>59</v>
      </c>
      <c r="F6" s="84" t="s">
        <v>40</v>
      </c>
      <c r="G6" s="83" t="s">
        <v>60</v>
      </c>
      <c r="H6" s="40" t="s">
        <v>61</v>
      </c>
      <c r="I6" s="45" t="s">
        <v>62</v>
      </c>
      <c r="J6" s="26" t="s">
        <v>44</v>
      </c>
      <c r="K6" s="27" t="s">
        <v>45</v>
      </c>
      <c r="L6" s="51" t="s">
        <v>45</v>
      </c>
      <c r="M6" s="60" t="s">
        <v>45</v>
      </c>
      <c r="N6" s="59"/>
      <c r="O6" s="64"/>
      <c r="P6" s="29" t="s">
        <v>45</v>
      </c>
      <c r="Q6" s="32"/>
      <c r="R6" s="30"/>
      <c r="S6" s="30"/>
      <c r="T6" s="30"/>
      <c r="U6" s="30"/>
      <c r="V6" s="30" t="s">
        <v>45</v>
      </c>
      <c r="W6" s="29"/>
      <c r="X6" s="42" t="s">
        <v>63</v>
      </c>
      <c r="Y6" s="38" t="s">
        <v>64</v>
      </c>
      <c r="Z6" s="41" t="s">
        <v>48</v>
      </c>
      <c r="AA6" s="20"/>
      <c r="AB6" s="78" t="s">
        <v>49</v>
      </c>
      <c r="AC6" s="78" t="s">
        <v>49</v>
      </c>
      <c r="AD6" s="81" t="s">
        <v>65</v>
      </c>
      <c r="AE6" s="12"/>
      <c r="AF6" s="12"/>
      <c r="AG6" s="12"/>
      <c r="AH6" s="12"/>
      <c r="AI6" s="12"/>
      <c r="AJ6" s="12"/>
      <c r="AK6" s="12"/>
      <c r="AL6" s="12"/>
      <c r="AM6" s="12"/>
      <c r="AN6" s="12"/>
      <c r="AO6" s="12"/>
      <c r="AP6" s="12"/>
      <c r="AQ6" s="12"/>
      <c r="AR6" s="12"/>
    </row>
    <row r="7" spans="1:44" ht="138" customHeight="1">
      <c r="A7" s="25" t="s">
        <v>13</v>
      </c>
      <c r="B7" s="33" t="s">
        <v>36</v>
      </c>
      <c r="C7" s="82" t="s">
        <v>37</v>
      </c>
      <c r="D7" s="84" t="s">
        <v>38</v>
      </c>
      <c r="E7" s="83" t="s">
        <v>66</v>
      </c>
      <c r="F7" s="84" t="s">
        <v>40</v>
      </c>
      <c r="G7" s="83" t="s">
        <v>41</v>
      </c>
      <c r="H7" s="40" t="s">
        <v>67</v>
      </c>
      <c r="I7" s="80" t="s">
        <v>68</v>
      </c>
      <c r="J7" s="26" t="s">
        <v>44</v>
      </c>
      <c r="K7" s="27" t="s">
        <v>45</v>
      </c>
      <c r="L7" s="51" t="s">
        <v>45</v>
      </c>
      <c r="M7" s="60" t="s">
        <v>45</v>
      </c>
      <c r="N7" s="59"/>
      <c r="O7" s="64"/>
      <c r="P7" s="29" t="s">
        <v>45</v>
      </c>
      <c r="Q7" s="32"/>
      <c r="R7" s="30"/>
      <c r="S7" s="30"/>
      <c r="T7" s="30" t="s">
        <v>45</v>
      </c>
      <c r="U7" s="30"/>
      <c r="V7" s="30"/>
      <c r="W7" s="29"/>
      <c r="X7" s="42" t="s">
        <v>69</v>
      </c>
      <c r="Y7" s="38" t="s">
        <v>70</v>
      </c>
      <c r="Z7" s="41" t="s">
        <v>48</v>
      </c>
      <c r="AA7" s="20"/>
      <c r="AB7" s="78" t="s">
        <v>49</v>
      </c>
      <c r="AC7" s="78" t="s">
        <v>49</v>
      </c>
      <c r="AD7" s="14" t="s">
        <v>71</v>
      </c>
      <c r="AE7" s="12"/>
      <c r="AF7" s="12"/>
      <c r="AG7" s="12"/>
      <c r="AH7" s="12"/>
      <c r="AI7" s="12"/>
      <c r="AJ7" s="12"/>
      <c r="AK7" s="12"/>
      <c r="AL7" s="12"/>
      <c r="AM7" s="12"/>
      <c r="AN7" s="12"/>
      <c r="AO7" s="12"/>
      <c r="AP7" s="12"/>
      <c r="AQ7" s="12"/>
      <c r="AR7" s="12"/>
    </row>
    <row r="8" spans="1:44" ht="143.25" customHeight="1">
      <c r="A8" s="25" t="s">
        <v>13</v>
      </c>
      <c r="B8" s="33" t="s">
        <v>36</v>
      </c>
      <c r="C8" s="82" t="s">
        <v>37</v>
      </c>
      <c r="D8" s="84" t="s">
        <v>38</v>
      </c>
      <c r="E8" s="83" t="s">
        <v>72</v>
      </c>
      <c r="F8" s="84" t="s">
        <v>40</v>
      </c>
      <c r="G8" s="83" t="s">
        <v>73</v>
      </c>
      <c r="H8" s="40" t="s">
        <v>74</v>
      </c>
      <c r="I8" s="45" t="s">
        <v>75</v>
      </c>
      <c r="J8" s="26" t="s">
        <v>44</v>
      </c>
      <c r="K8" s="27" t="s">
        <v>45</v>
      </c>
      <c r="L8" s="51" t="s">
        <v>45</v>
      </c>
      <c r="M8" s="60" t="s">
        <v>45</v>
      </c>
      <c r="N8" s="59"/>
      <c r="O8" s="64"/>
      <c r="P8" s="29" t="s">
        <v>45</v>
      </c>
      <c r="Q8" s="32"/>
      <c r="R8" s="30"/>
      <c r="S8" s="30"/>
      <c r="T8" s="30" t="s">
        <v>45</v>
      </c>
      <c r="U8" s="30"/>
      <c r="V8" s="30"/>
      <c r="W8" s="29"/>
      <c r="X8" s="42" t="s">
        <v>69</v>
      </c>
      <c r="Y8" s="38" t="s">
        <v>70</v>
      </c>
      <c r="Z8" s="41" t="s">
        <v>48</v>
      </c>
      <c r="AA8" s="20"/>
      <c r="AB8" s="78" t="s">
        <v>49</v>
      </c>
      <c r="AC8" s="78" t="s">
        <v>49</v>
      </c>
      <c r="AD8" s="1" t="s">
        <v>76</v>
      </c>
      <c r="AE8" s="12"/>
      <c r="AF8" s="12"/>
      <c r="AG8" s="12"/>
      <c r="AH8" s="12"/>
      <c r="AI8" s="12"/>
      <c r="AJ8" s="12"/>
      <c r="AK8" s="12"/>
      <c r="AL8" s="12"/>
      <c r="AM8" s="12"/>
      <c r="AN8" s="12"/>
      <c r="AO8" s="12"/>
      <c r="AP8" s="12"/>
      <c r="AQ8" s="12"/>
      <c r="AR8" s="12"/>
    </row>
    <row r="9" spans="1:44" ht="124.5" customHeight="1">
      <c r="A9" s="25" t="s">
        <v>13</v>
      </c>
      <c r="B9" s="33" t="s">
        <v>36</v>
      </c>
      <c r="C9" s="82" t="s">
        <v>37</v>
      </c>
      <c r="D9" s="84" t="s">
        <v>38</v>
      </c>
      <c r="E9" s="83" t="s">
        <v>66</v>
      </c>
      <c r="F9" s="84" t="s">
        <v>40</v>
      </c>
      <c r="G9" s="83" t="s">
        <v>41</v>
      </c>
      <c r="H9" s="40" t="s">
        <v>77</v>
      </c>
      <c r="I9" s="80" t="s">
        <v>78</v>
      </c>
      <c r="J9" s="26" t="s">
        <v>44</v>
      </c>
      <c r="K9" s="27" t="s">
        <v>45</v>
      </c>
      <c r="L9" s="51" t="s">
        <v>45</v>
      </c>
      <c r="M9" s="60" t="s">
        <v>45</v>
      </c>
      <c r="N9" s="59"/>
      <c r="O9" s="64"/>
      <c r="P9" s="29" t="s">
        <v>45</v>
      </c>
      <c r="Q9" s="32"/>
      <c r="R9" s="30"/>
      <c r="S9" s="30"/>
      <c r="T9" s="30"/>
      <c r="U9" s="30" t="s">
        <v>45</v>
      </c>
      <c r="V9" s="30"/>
      <c r="W9" s="29"/>
      <c r="X9" s="42" t="s">
        <v>69</v>
      </c>
      <c r="Y9" s="47" t="s">
        <v>79</v>
      </c>
      <c r="Z9" s="41" t="s">
        <v>48</v>
      </c>
      <c r="AA9" s="20"/>
      <c r="AB9" s="78" t="s">
        <v>49</v>
      </c>
      <c r="AC9" s="78" t="s">
        <v>49</v>
      </c>
      <c r="AD9" s="14" t="s">
        <v>80</v>
      </c>
      <c r="AE9" s="12"/>
      <c r="AF9" s="12"/>
      <c r="AG9" s="12"/>
      <c r="AH9" s="12"/>
      <c r="AI9" s="12"/>
      <c r="AJ9" s="12"/>
      <c r="AK9" s="12"/>
      <c r="AL9" s="12"/>
      <c r="AM9" s="12"/>
      <c r="AN9" s="12"/>
      <c r="AO9" s="12"/>
      <c r="AP9" s="12"/>
      <c r="AQ9" s="12"/>
      <c r="AR9" s="12"/>
    </row>
    <row r="10" spans="1:44" ht="124.5" customHeight="1">
      <c r="A10" s="25" t="s">
        <v>13</v>
      </c>
      <c r="B10" s="33" t="s">
        <v>36</v>
      </c>
      <c r="C10" s="82" t="s">
        <v>37</v>
      </c>
      <c r="D10" s="84" t="s">
        <v>38</v>
      </c>
      <c r="E10" s="83" t="s">
        <v>39</v>
      </c>
      <c r="F10" s="84" t="s">
        <v>40</v>
      </c>
      <c r="G10" s="83" t="s">
        <v>41</v>
      </c>
      <c r="H10" s="40" t="s">
        <v>81</v>
      </c>
      <c r="I10" s="45" t="s">
        <v>82</v>
      </c>
      <c r="J10" s="26" t="s">
        <v>44</v>
      </c>
      <c r="K10" s="27" t="s">
        <v>45</v>
      </c>
      <c r="L10" s="51" t="s">
        <v>45</v>
      </c>
      <c r="M10" s="60" t="s">
        <v>45</v>
      </c>
      <c r="N10" s="59"/>
      <c r="O10" s="64"/>
      <c r="P10" s="29" t="s">
        <v>45</v>
      </c>
      <c r="Q10" s="32"/>
      <c r="R10" s="30"/>
      <c r="S10" s="30"/>
      <c r="T10" s="30"/>
      <c r="U10" s="30" t="s">
        <v>45</v>
      </c>
      <c r="V10" s="30"/>
      <c r="W10" s="29"/>
      <c r="X10" s="42" t="s">
        <v>69</v>
      </c>
      <c r="Y10" s="47" t="s">
        <v>79</v>
      </c>
      <c r="Z10" s="41" t="s">
        <v>48</v>
      </c>
      <c r="AA10" s="20"/>
      <c r="AB10" s="78" t="s">
        <v>49</v>
      </c>
      <c r="AC10" s="78" t="s">
        <v>49</v>
      </c>
      <c r="AD10" s="1" t="s">
        <v>83</v>
      </c>
      <c r="AE10" s="12"/>
      <c r="AF10" s="12"/>
      <c r="AG10" s="12"/>
      <c r="AH10" s="12"/>
      <c r="AI10" s="12"/>
      <c r="AJ10" s="12"/>
      <c r="AK10" s="12"/>
      <c r="AL10" s="12"/>
      <c r="AM10" s="12"/>
      <c r="AN10" s="12"/>
      <c r="AO10" s="12"/>
      <c r="AP10" s="12"/>
      <c r="AQ10" s="12"/>
      <c r="AR10" s="12"/>
    </row>
    <row r="11" spans="1:44" ht="234" customHeight="1">
      <c r="A11" s="25" t="s">
        <v>13</v>
      </c>
      <c r="B11" s="33" t="s">
        <v>36</v>
      </c>
      <c r="C11" s="82" t="s">
        <v>37</v>
      </c>
      <c r="D11" s="84" t="s">
        <v>38</v>
      </c>
      <c r="E11" s="83" t="s">
        <v>72</v>
      </c>
      <c r="F11" s="84" t="s">
        <v>40</v>
      </c>
      <c r="G11" s="83" t="s">
        <v>73</v>
      </c>
      <c r="H11" s="40" t="s">
        <v>84</v>
      </c>
      <c r="I11" s="1" t="s">
        <v>85</v>
      </c>
      <c r="J11" s="33" t="s">
        <v>86</v>
      </c>
      <c r="K11" s="27" t="s">
        <v>45</v>
      </c>
      <c r="L11" s="51" t="s">
        <v>45</v>
      </c>
      <c r="M11" s="73"/>
      <c r="N11" s="72"/>
      <c r="O11" s="64"/>
      <c r="P11" s="29" t="s">
        <v>45</v>
      </c>
      <c r="Q11" s="32"/>
      <c r="R11" s="30"/>
      <c r="S11" s="30"/>
      <c r="T11" s="30"/>
      <c r="U11" s="30"/>
      <c r="V11" s="30"/>
      <c r="W11" s="29" t="s">
        <v>45</v>
      </c>
      <c r="X11" s="42" t="s">
        <v>87</v>
      </c>
      <c r="Y11" s="44" t="s">
        <v>88</v>
      </c>
      <c r="Z11" s="41" t="s">
        <v>48</v>
      </c>
      <c r="AA11" s="31"/>
      <c r="AB11" s="78" t="s">
        <v>49</v>
      </c>
      <c r="AC11" s="78" t="s">
        <v>49</v>
      </c>
      <c r="AD11" s="17" t="s">
        <v>89</v>
      </c>
      <c r="AE11" s="12"/>
      <c r="AF11" s="12"/>
      <c r="AG11" s="12"/>
      <c r="AH11" s="12"/>
      <c r="AI11" s="12"/>
      <c r="AJ11" s="12"/>
      <c r="AK11" s="12"/>
      <c r="AL11" s="12"/>
      <c r="AM11" s="12"/>
      <c r="AN11" s="12"/>
      <c r="AO11" s="12"/>
      <c r="AP11" s="12"/>
      <c r="AQ11" s="12"/>
      <c r="AR11" s="12"/>
    </row>
    <row r="12" spans="1:44" ht="205.5" customHeight="1">
      <c r="A12" s="25" t="s">
        <v>13</v>
      </c>
      <c r="B12" s="33" t="s">
        <v>36</v>
      </c>
      <c r="C12" s="82" t="s">
        <v>37</v>
      </c>
      <c r="D12" s="84" t="s">
        <v>38</v>
      </c>
      <c r="E12" s="83" t="s">
        <v>72</v>
      </c>
      <c r="F12" s="84" t="s">
        <v>40</v>
      </c>
      <c r="G12" s="83" t="s">
        <v>73</v>
      </c>
      <c r="H12" s="40" t="s">
        <v>90</v>
      </c>
      <c r="I12" s="1" t="s">
        <v>91</v>
      </c>
      <c r="J12" s="26" t="s">
        <v>44</v>
      </c>
      <c r="K12" s="27"/>
      <c r="L12" s="51"/>
      <c r="M12" s="73"/>
      <c r="N12" s="72"/>
      <c r="O12" s="64"/>
      <c r="P12" s="29"/>
      <c r="Q12" s="32"/>
      <c r="R12" s="30"/>
      <c r="S12" s="30"/>
      <c r="T12" s="30"/>
      <c r="U12" s="30"/>
      <c r="V12" s="30"/>
      <c r="W12" s="29" t="s">
        <v>45</v>
      </c>
      <c r="X12" s="42" t="s">
        <v>92</v>
      </c>
      <c r="Y12" s="43" t="s">
        <v>93</v>
      </c>
      <c r="Z12" s="41" t="s">
        <v>48</v>
      </c>
      <c r="AA12" s="31"/>
      <c r="AB12" s="78" t="s">
        <v>49</v>
      </c>
      <c r="AC12" s="78" t="s">
        <v>49</v>
      </c>
      <c r="AD12" s="17" t="s">
        <v>94</v>
      </c>
      <c r="AE12" s="12"/>
      <c r="AF12" s="12"/>
      <c r="AG12" s="12"/>
      <c r="AH12" s="12"/>
      <c r="AI12" s="12"/>
      <c r="AJ12" s="12"/>
      <c r="AK12" s="12"/>
      <c r="AL12" s="12"/>
      <c r="AM12" s="12"/>
      <c r="AN12" s="12"/>
      <c r="AO12" s="12"/>
      <c r="AP12" s="12"/>
      <c r="AQ12" s="12"/>
      <c r="AR12" s="12"/>
    </row>
    <row r="13" spans="1:44" ht="157.5" customHeight="1">
      <c r="A13" s="25" t="s">
        <v>13</v>
      </c>
      <c r="B13" s="33" t="s">
        <v>36</v>
      </c>
      <c r="C13" s="82" t="s">
        <v>37</v>
      </c>
      <c r="D13" s="84" t="s">
        <v>38</v>
      </c>
      <c r="E13" s="83" t="s">
        <v>39</v>
      </c>
      <c r="F13" s="84" t="s">
        <v>40</v>
      </c>
      <c r="G13" s="83" t="s">
        <v>73</v>
      </c>
      <c r="H13" s="40" t="s">
        <v>95</v>
      </c>
      <c r="I13" s="45" t="s">
        <v>96</v>
      </c>
      <c r="J13" s="33" t="s">
        <v>86</v>
      </c>
      <c r="K13" s="52" t="s">
        <v>45</v>
      </c>
      <c r="L13" s="65" t="s">
        <v>45</v>
      </c>
      <c r="M13" s="61"/>
      <c r="N13" s="62" t="s">
        <v>45</v>
      </c>
      <c r="O13" s="66"/>
      <c r="P13" s="53" t="s">
        <v>45</v>
      </c>
      <c r="Q13" s="34"/>
      <c r="R13" s="35"/>
      <c r="S13" s="35"/>
      <c r="T13" s="35"/>
      <c r="U13" s="35"/>
      <c r="V13" s="35"/>
      <c r="W13" s="28"/>
      <c r="X13" s="48" t="s">
        <v>97</v>
      </c>
      <c r="Y13" s="37" t="s">
        <v>98</v>
      </c>
      <c r="Z13" s="41" t="s">
        <v>48</v>
      </c>
      <c r="AA13" s="20"/>
      <c r="AB13" s="78" t="s">
        <v>49</v>
      </c>
      <c r="AC13" s="78" t="s">
        <v>49</v>
      </c>
      <c r="AD13" s="1" t="s">
        <v>99</v>
      </c>
      <c r="AE13" s="12"/>
      <c r="AF13" s="12"/>
      <c r="AG13" s="12"/>
      <c r="AH13" s="12"/>
      <c r="AI13" s="12"/>
      <c r="AJ13" s="12"/>
      <c r="AK13" s="12"/>
      <c r="AL13" s="12"/>
      <c r="AM13" s="12"/>
      <c r="AN13" s="12"/>
      <c r="AO13" s="12"/>
      <c r="AP13" s="12"/>
      <c r="AQ13" s="12"/>
      <c r="AR13" s="12"/>
    </row>
    <row r="14" spans="1:44" ht="15.75" customHeight="1">
      <c r="A14" s="13"/>
      <c r="C14" s="77"/>
      <c r="D14" s="77"/>
      <c r="E14" s="77"/>
      <c r="F14" s="77"/>
      <c r="G14" s="77"/>
      <c r="J14" s="49"/>
      <c r="K14" s="49"/>
      <c r="L14" s="49"/>
      <c r="M14" s="49"/>
      <c r="N14" s="49"/>
      <c r="O14" s="49"/>
      <c r="P14" s="49"/>
      <c r="Q14" s="49"/>
      <c r="Y14" s="49"/>
    </row>
    <row r="15" spans="1:44" ht="15.75" customHeight="1">
      <c r="A15" s="13"/>
      <c r="K15" s="49"/>
      <c r="L15" s="49"/>
      <c r="M15" s="49"/>
      <c r="N15" s="49"/>
      <c r="O15" s="49"/>
      <c r="P15" s="49"/>
    </row>
    <row r="16" spans="1:44" ht="15.75" customHeight="1">
      <c r="A16" s="13"/>
      <c r="Z16" s="18" t="s">
        <v>100</v>
      </c>
      <c r="AA16" s="2"/>
      <c r="AB16" s="2"/>
    </row>
    <row r="17" spans="1:28" ht="15.75" customHeight="1">
      <c r="A17" s="13"/>
      <c r="AA17" s="4"/>
      <c r="AB17" s="4"/>
    </row>
    <row r="18" spans="1:28" ht="15.75" customHeight="1">
      <c r="A18" s="13"/>
      <c r="AA18" s="5" t="s">
        <v>38</v>
      </c>
      <c r="AB18" s="5" t="s">
        <v>40</v>
      </c>
    </row>
    <row r="19" spans="1:28" ht="15.75" customHeight="1">
      <c r="A19" s="13"/>
      <c r="Z19" s="6" t="s">
        <v>101</v>
      </c>
      <c r="AA19" s="15">
        <f>COUNTIF(AB3:AB13,"Not Start")</f>
        <v>0</v>
      </c>
      <c r="AB19" s="15">
        <f>COUNTIF(AC3:AC13,"Not Start")</f>
        <v>0</v>
      </c>
    </row>
    <row r="20" spans="1:28" ht="15.75" customHeight="1">
      <c r="A20" s="13"/>
      <c r="Z20" s="6" t="s">
        <v>102</v>
      </c>
      <c r="AA20" s="15">
        <f>COUNTIF(AB3:AB13,"Inprogress")</f>
        <v>0</v>
      </c>
      <c r="AB20" s="15">
        <f>COUNTIF(AC3:AC13,"Inprogress")</f>
        <v>0</v>
      </c>
    </row>
    <row r="21" spans="1:28" ht="15.75" customHeight="1">
      <c r="A21" s="13"/>
      <c r="Z21" s="6" t="s">
        <v>103</v>
      </c>
      <c r="AA21" s="15">
        <f>COUNTIF(AB3:AB13,"Skip")</f>
        <v>0</v>
      </c>
      <c r="AB21" s="15">
        <f>COUNTIF(AC3:AC13,"Skip")</f>
        <v>0</v>
      </c>
    </row>
    <row r="22" spans="1:28" ht="15.75" customHeight="1">
      <c r="A22" s="13"/>
      <c r="Z22" s="6" t="s">
        <v>104</v>
      </c>
      <c r="AA22" s="15">
        <f>COUNTIF(AB3:AB13,"Block")</f>
        <v>0</v>
      </c>
      <c r="AB22" s="15">
        <f>COUNTIF(AC3:AC13,"Block")</f>
        <v>0</v>
      </c>
    </row>
    <row r="23" spans="1:28" ht="15.75" customHeight="1">
      <c r="A23" s="13"/>
      <c r="Z23" s="6" t="s">
        <v>105</v>
      </c>
      <c r="AA23" s="15">
        <f>COUNTIF(AB3:AB13,"Failed")</f>
        <v>0</v>
      </c>
      <c r="AB23" s="15">
        <f>COUNTIF(AC3:AC13,"Failed")</f>
        <v>0</v>
      </c>
    </row>
    <row r="24" spans="1:28" ht="15.75" customHeight="1">
      <c r="A24" s="13"/>
      <c r="Z24" s="6" t="s">
        <v>106</v>
      </c>
      <c r="AA24" s="7">
        <f>COUNTIF(AB3:AB13,"Passed")</f>
        <v>11</v>
      </c>
      <c r="AB24" s="7">
        <f>COUNTIF(AC3:AC13,"Passed")</f>
        <v>11</v>
      </c>
    </row>
    <row r="25" spans="1:28" ht="15.75" customHeight="1">
      <c r="A25" s="13"/>
    </row>
    <row r="26" spans="1:28" ht="15.75" customHeight="1">
      <c r="A26" s="13"/>
      <c r="AA26" s="5" t="s">
        <v>38</v>
      </c>
      <c r="AB26" s="5" t="s">
        <v>40</v>
      </c>
    </row>
    <row r="27" spans="1:28" ht="15.75" customHeight="1">
      <c r="A27" s="13"/>
      <c r="Z27" s="6" t="s">
        <v>107</v>
      </c>
      <c r="AA27" s="16">
        <f t="shared" ref="AA27:AB27" si="0">AA24/(AA24+AA19+AA20+AA23)</f>
        <v>1</v>
      </c>
      <c r="AB27" s="16">
        <f t="shared" si="0"/>
        <v>1</v>
      </c>
    </row>
    <row r="28" spans="1:28" ht="15.75" customHeight="1">
      <c r="A28" s="13"/>
    </row>
    <row r="29" spans="1:28" ht="15.75" customHeight="1">
      <c r="A29" s="13"/>
    </row>
    <row r="30" spans="1:28" ht="15.75" customHeight="1">
      <c r="A30" s="13"/>
    </row>
    <row r="31" spans="1:28" ht="15.75" customHeight="1">
      <c r="A31" s="13"/>
    </row>
    <row r="32" spans="1:28" ht="15.75" customHeight="1">
      <c r="A32" s="13"/>
    </row>
    <row r="33" spans="1:1" ht="15.75" customHeight="1">
      <c r="A33" s="3" t="s">
        <v>108</v>
      </c>
    </row>
    <row r="34" spans="1:1" ht="15.75" customHeight="1">
      <c r="A34" s="3" t="s">
        <v>109</v>
      </c>
    </row>
    <row r="35" spans="1:1" ht="15.75" customHeight="1">
      <c r="A35" s="36" t="s">
        <v>110</v>
      </c>
    </row>
    <row r="36" spans="1:1" ht="15.75" customHeight="1">
      <c r="A36" s="36" t="s">
        <v>111</v>
      </c>
    </row>
    <row r="37" spans="1:1" ht="15.75" customHeight="1">
      <c r="A37" s="36" t="s">
        <v>112</v>
      </c>
    </row>
    <row r="38" spans="1:1" ht="15.75" customHeight="1">
      <c r="A38" s="36" t="s">
        <v>113</v>
      </c>
    </row>
    <row r="39" spans="1:1" ht="15.75" customHeight="1">
      <c r="A39" s="36" t="s">
        <v>114</v>
      </c>
    </row>
    <row r="40" spans="1:1" ht="15.75" customHeight="1">
      <c r="A40" s="36" t="s">
        <v>115</v>
      </c>
    </row>
    <row r="41" spans="1:1" ht="15.75" customHeight="1">
      <c r="A41" s="36" t="s">
        <v>116</v>
      </c>
    </row>
    <row r="42" spans="1:1" ht="15.75" customHeight="1">
      <c r="A42" s="3" t="s">
        <v>117</v>
      </c>
    </row>
    <row r="43" spans="1:1" ht="15.75" customHeight="1">
      <c r="A43" s="3" t="s">
        <v>118</v>
      </c>
    </row>
    <row r="44" spans="1:1" ht="15.75" customHeight="1">
      <c r="A44" s="36" t="s">
        <v>110</v>
      </c>
    </row>
    <row r="45" spans="1:1" ht="15.75" customHeight="1">
      <c r="A45" s="36" t="s">
        <v>119</v>
      </c>
    </row>
    <row r="46" spans="1:1" ht="15.75" customHeight="1">
      <c r="A46" s="13"/>
    </row>
    <row r="47" spans="1:1" ht="15.75" customHeight="1">
      <c r="A47" s="13"/>
    </row>
    <row r="48" spans="1:1" ht="15.75" customHeight="1">
      <c r="A48" s="13"/>
    </row>
    <row r="49" spans="1:1" ht="15.75" customHeight="1">
      <c r="A49" s="13"/>
    </row>
    <row r="50" spans="1:1" ht="15.75" customHeight="1">
      <c r="A50" s="13"/>
    </row>
    <row r="51" spans="1:1" ht="15.75" customHeight="1">
      <c r="A51" s="13"/>
    </row>
    <row r="52" spans="1:1" ht="15.75" customHeight="1">
      <c r="A52" s="13"/>
    </row>
    <row r="53" spans="1:1" ht="15.75" customHeight="1">
      <c r="A53" s="13"/>
    </row>
    <row r="54" spans="1:1" ht="15.75" customHeight="1">
      <c r="A54" s="13"/>
    </row>
    <row r="55" spans="1:1" ht="15.75" customHeight="1">
      <c r="A55" s="13"/>
    </row>
    <row r="56" spans="1:1" ht="15.75" customHeight="1">
      <c r="A56" s="13"/>
    </row>
    <row r="57" spans="1:1" ht="15.75" customHeight="1">
      <c r="A57" s="13"/>
    </row>
    <row r="58" spans="1:1" ht="15.75" customHeight="1">
      <c r="A58" s="13"/>
    </row>
    <row r="59" spans="1:1" ht="15.75" customHeight="1">
      <c r="A59" s="13"/>
    </row>
    <row r="60" spans="1:1" ht="15.75" customHeight="1">
      <c r="A60" s="13"/>
    </row>
    <row r="61" spans="1:1" ht="15.75" customHeight="1">
      <c r="A61" s="13"/>
    </row>
    <row r="62" spans="1:1" ht="15.75" customHeight="1">
      <c r="A62" s="13"/>
    </row>
    <row r="63" spans="1:1" ht="15.75" customHeight="1">
      <c r="A63" s="13"/>
    </row>
    <row r="64" spans="1:1" ht="15.75" customHeight="1">
      <c r="A64" s="13"/>
    </row>
    <row r="65" spans="1:1" ht="15.75" customHeight="1">
      <c r="A65" s="13"/>
    </row>
    <row r="66" spans="1:1" ht="15.75" customHeight="1">
      <c r="A66" s="13"/>
    </row>
    <row r="67" spans="1:1" ht="15.75" customHeight="1">
      <c r="A67" s="13"/>
    </row>
    <row r="68" spans="1:1" ht="15.75" customHeight="1">
      <c r="A68" s="13"/>
    </row>
    <row r="69" spans="1:1" ht="15.75" customHeight="1">
      <c r="A69" s="13"/>
    </row>
    <row r="70" spans="1:1" ht="15.75" customHeight="1">
      <c r="A70" s="13"/>
    </row>
    <row r="71" spans="1:1" ht="15.75" customHeight="1">
      <c r="A71" s="13"/>
    </row>
    <row r="72" spans="1:1" ht="15.75" customHeight="1">
      <c r="A72" s="13"/>
    </row>
    <row r="73" spans="1:1" ht="15.75" customHeight="1">
      <c r="A73" s="13"/>
    </row>
    <row r="74" spans="1:1" ht="15.75" customHeight="1">
      <c r="A74" s="13"/>
    </row>
    <row r="75" spans="1:1" ht="15.75" customHeight="1">
      <c r="A75" s="13"/>
    </row>
    <row r="76" spans="1:1" ht="15.75" customHeight="1">
      <c r="A76" s="13"/>
    </row>
    <row r="77" spans="1:1" ht="15.75" customHeight="1">
      <c r="A77" s="13"/>
    </row>
    <row r="78" spans="1:1" ht="15.75" customHeight="1">
      <c r="A78" s="13"/>
    </row>
    <row r="79" spans="1:1" ht="15.75" customHeight="1">
      <c r="A79" s="13"/>
    </row>
    <row r="80" spans="1:1" ht="15.75" customHeight="1">
      <c r="A80" s="13"/>
    </row>
    <row r="81" spans="1:1" ht="15.75" customHeight="1">
      <c r="A81" s="13"/>
    </row>
    <row r="82" spans="1:1" ht="15.75" customHeight="1">
      <c r="A82" s="13"/>
    </row>
    <row r="83" spans="1:1" ht="15.75" customHeight="1">
      <c r="A83" s="13"/>
    </row>
    <row r="84" spans="1:1" ht="15.75" customHeight="1">
      <c r="A84" s="13"/>
    </row>
    <row r="85" spans="1:1" ht="15.75" customHeight="1">
      <c r="A85" s="13"/>
    </row>
    <row r="86" spans="1:1" ht="15.75" customHeight="1">
      <c r="A86" s="13"/>
    </row>
    <row r="87" spans="1:1" ht="15.75" customHeight="1">
      <c r="A87" s="13"/>
    </row>
    <row r="88" spans="1:1" ht="15.75" customHeight="1">
      <c r="A88" s="13"/>
    </row>
    <row r="89" spans="1:1" ht="15.75" customHeight="1">
      <c r="A89" s="13"/>
    </row>
    <row r="90" spans="1:1" ht="15.75" customHeight="1">
      <c r="A90" s="13"/>
    </row>
    <row r="91" spans="1:1" ht="15.75" customHeight="1">
      <c r="A91" s="13"/>
    </row>
    <row r="92" spans="1:1" ht="15.75" customHeight="1">
      <c r="A92" s="13"/>
    </row>
    <row r="93" spans="1:1" ht="15.75" customHeight="1">
      <c r="A93" s="13"/>
    </row>
    <row r="94" spans="1:1" ht="15.75" customHeight="1">
      <c r="A94" s="13"/>
    </row>
    <row r="95" spans="1:1" ht="15.75" customHeight="1">
      <c r="A95" s="13"/>
    </row>
    <row r="96" spans="1:1" ht="15.75" customHeight="1">
      <c r="A96" s="13"/>
    </row>
    <row r="97" spans="1:1" ht="15.75" customHeight="1">
      <c r="A97" s="13"/>
    </row>
    <row r="98" spans="1:1" ht="15.75" customHeight="1">
      <c r="A98" s="13"/>
    </row>
    <row r="99" spans="1:1" ht="15.75" customHeight="1">
      <c r="A99" s="13"/>
    </row>
    <row r="100" spans="1:1" ht="15.75" customHeight="1">
      <c r="A100" s="13"/>
    </row>
    <row r="101" spans="1:1" ht="15.75" customHeight="1">
      <c r="A101" s="13"/>
    </row>
    <row r="102" spans="1:1" ht="15.75" customHeight="1">
      <c r="A102" s="13"/>
    </row>
    <row r="103" spans="1:1" ht="15.75" customHeight="1">
      <c r="A103" s="13"/>
    </row>
    <row r="104" spans="1:1" ht="15.75" customHeight="1">
      <c r="A104" s="13"/>
    </row>
    <row r="105" spans="1:1" ht="15.75" customHeight="1">
      <c r="A105" s="13"/>
    </row>
    <row r="106" spans="1:1" ht="15.75" customHeight="1">
      <c r="A106" s="13"/>
    </row>
    <row r="107" spans="1:1" ht="15.75" customHeight="1">
      <c r="A107" s="13"/>
    </row>
    <row r="108" spans="1:1" ht="15.75" customHeight="1">
      <c r="A108" s="13"/>
    </row>
    <row r="109" spans="1:1" ht="15.75" customHeight="1">
      <c r="A109" s="13"/>
    </row>
    <row r="110" spans="1:1" ht="15.75" customHeight="1">
      <c r="A110" s="13"/>
    </row>
    <row r="111" spans="1:1" ht="15.75" customHeight="1">
      <c r="A111" s="13"/>
    </row>
    <row r="112" spans="1:1" ht="15.75" customHeight="1">
      <c r="A112" s="13"/>
    </row>
    <row r="113" spans="1:1" ht="15.75" customHeight="1">
      <c r="A113" s="13"/>
    </row>
    <row r="114" spans="1:1" ht="15.75" customHeight="1">
      <c r="A114" s="13"/>
    </row>
    <row r="115" spans="1:1" ht="15.75" customHeight="1">
      <c r="A115" s="13"/>
    </row>
    <row r="116" spans="1:1" ht="15.75" customHeight="1">
      <c r="A116" s="13"/>
    </row>
    <row r="117" spans="1:1" ht="15.75" customHeight="1">
      <c r="A117" s="13"/>
    </row>
    <row r="118" spans="1:1" ht="15.75" customHeight="1">
      <c r="A118" s="13"/>
    </row>
    <row r="119" spans="1:1" ht="15.75" customHeight="1">
      <c r="A119" s="13"/>
    </row>
    <row r="120" spans="1:1" ht="15.75" customHeight="1">
      <c r="A120" s="13"/>
    </row>
    <row r="121" spans="1:1" ht="15.75" customHeight="1">
      <c r="A121" s="13"/>
    </row>
    <row r="122" spans="1:1" ht="15.75" customHeight="1">
      <c r="A122" s="13"/>
    </row>
    <row r="123" spans="1:1" ht="15.75" customHeight="1">
      <c r="A123" s="13"/>
    </row>
    <row r="124" spans="1:1" ht="15.75" customHeight="1">
      <c r="A124" s="13"/>
    </row>
    <row r="125" spans="1:1" ht="15.75" customHeight="1">
      <c r="A125" s="13"/>
    </row>
    <row r="126" spans="1:1" ht="15.75" customHeight="1">
      <c r="A126" s="13"/>
    </row>
    <row r="127" spans="1:1" ht="15.75" customHeight="1">
      <c r="A127" s="13"/>
    </row>
    <row r="128" spans="1:1" ht="15.75" customHeight="1">
      <c r="A128" s="13"/>
    </row>
    <row r="129" spans="1:1" ht="15.75" customHeight="1">
      <c r="A129" s="13"/>
    </row>
    <row r="130" spans="1:1" ht="15.75" customHeight="1">
      <c r="A130" s="13"/>
    </row>
    <row r="131" spans="1:1" ht="15.75" customHeight="1">
      <c r="A131" s="13"/>
    </row>
    <row r="132" spans="1:1" ht="15.75" customHeight="1">
      <c r="A132" s="13"/>
    </row>
    <row r="133" spans="1:1" ht="15.75" customHeight="1">
      <c r="A133" s="13"/>
    </row>
    <row r="134" spans="1:1" ht="15.75" customHeight="1">
      <c r="A134" s="13"/>
    </row>
    <row r="135" spans="1:1" ht="15.75" customHeight="1">
      <c r="A135" s="13"/>
    </row>
    <row r="136" spans="1:1" ht="15.75" customHeight="1">
      <c r="A136" s="13"/>
    </row>
    <row r="137" spans="1:1" ht="15.75" customHeight="1">
      <c r="A137" s="13"/>
    </row>
    <row r="138" spans="1:1" ht="15.75" customHeight="1">
      <c r="A138" s="13"/>
    </row>
    <row r="139" spans="1:1" ht="15.75" customHeight="1">
      <c r="A139" s="13"/>
    </row>
    <row r="140" spans="1:1" ht="15.75" customHeight="1">
      <c r="A140" s="13"/>
    </row>
    <row r="141" spans="1:1" ht="15.75" customHeight="1">
      <c r="A141" s="13"/>
    </row>
    <row r="142" spans="1:1" ht="15.75" customHeight="1">
      <c r="A142" s="13"/>
    </row>
    <row r="143" spans="1:1" ht="15.75" customHeight="1">
      <c r="A143" s="13"/>
    </row>
    <row r="144" spans="1:1" ht="15.75" customHeight="1">
      <c r="A144" s="13"/>
    </row>
    <row r="145" spans="1:1" ht="15.75" customHeight="1">
      <c r="A145" s="13"/>
    </row>
    <row r="146" spans="1:1" ht="15.75" customHeight="1">
      <c r="A146" s="13"/>
    </row>
    <row r="147" spans="1:1" ht="15.75" customHeight="1">
      <c r="A147" s="13"/>
    </row>
    <row r="148" spans="1:1" ht="15.75" customHeight="1">
      <c r="A148" s="13"/>
    </row>
    <row r="149" spans="1:1" ht="15.75" customHeight="1">
      <c r="A149" s="13"/>
    </row>
    <row r="150" spans="1:1" ht="15.75" customHeight="1">
      <c r="A150" s="13"/>
    </row>
    <row r="151" spans="1:1" ht="15.75" customHeight="1">
      <c r="A151" s="13"/>
    </row>
    <row r="152" spans="1:1" ht="15.75" customHeight="1">
      <c r="A152" s="13"/>
    </row>
    <row r="153" spans="1:1" ht="15.75" customHeight="1">
      <c r="A153" s="13"/>
    </row>
    <row r="154" spans="1:1" ht="15.75" customHeight="1">
      <c r="A154" s="13"/>
    </row>
    <row r="155" spans="1:1" ht="15.75" customHeight="1">
      <c r="A155" s="13"/>
    </row>
    <row r="156" spans="1:1" ht="15.75" customHeight="1">
      <c r="A156" s="13"/>
    </row>
    <row r="157" spans="1:1" ht="15.75" customHeight="1">
      <c r="A157" s="13"/>
    </row>
    <row r="158" spans="1:1" ht="15.75" customHeight="1">
      <c r="A158" s="13"/>
    </row>
    <row r="159" spans="1:1" ht="15.75" customHeight="1">
      <c r="A159" s="13"/>
    </row>
    <row r="160" spans="1:1" ht="15.75" customHeight="1">
      <c r="A160" s="13"/>
    </row>
    <row r="161" spans="1:1" ht="15.75" customHeight="1">
      <c r="A161" s="13"/>
    </row>
    <row r="162" spans="1:1" ht="15.75" customHeight="1">
      <c r="A162" s="13"/>
    </row>
    <row r="163" spans="1:1" ht="15.75" customHeight="1">
      <c r="A163" s="13"/>
    </row>
    <row r="164" spans="1:1" ht="15.75" customHeight="1">
      <c r="A164" s="13"/>
    </row>
    <row r="165" spans="1:1" ht="15.75" customHeight="1">
      <c r="A165" s="13"/>
    </row>
    <row r="166" spans="1:1" ht="15.75" customHeight="1">
      <c r="A166" s="13"/>
    </row>
    <row r="167" spans="1:1" ht="15.75" customHeight="1">
      <c r="A167" s="13"/>
    </row>
    <row r="168" spans="1:1" ht="15.75" customHeight="1">
      <c r="A168" s="13"/>
    </row>
    <row r="169" spans="1:1" ht="15.75" customHeight="1">
      <c r="A169" s="13"/>
    </row>
    <row r="170" spans="1:1" ht="15.75" customHeight="1">
      <c r="A170" s="13"/>
    </row>
    <row r="171" spans="1:1" ht="15.75" customHeight="1">
      <c r="A171" s="13"/>
    </row>
    <row r="172" spans="1:1" ht="15.75" customHeight="1">
      <c r="A172" s="13"/>
    </row>
    <row r="173" spans="1:1" ht="15.75" customHeight="1">
      <c r="A173" s="13"/>
    </row>
    <row r="174" spans="1:1" ht="15.75" customHeight="1">
      <c r="A174" s="13"/>
    </row>
    <row r="175" spans="1:1" ht="15.75" customHeight="1">
      <c r="A175" s="13"/>
    </row>
    <row r="176" spans="1:1" ht="15.75" customHeight="1">
      <c r="A176" s="13"/>
    </row>
    <row r="177" spans="1:1" ht="15.75" customHeight="1">
      <c r="A177" s="13"/>
    </row>
    <row r="178" spans="1:1" ht="15.75" customHeight="1">
      <c r="A178" s="13"/>
    </row>
    <row r="179" spans="1:1" ht="15.75" customHeight="1">
      <c r="A179" s="13"/>
    </row>
    <row r="180" spans="1:1" ht="15.75" customHeight="1">
      <c r="A180" s="13"/>
    </row>
    <row r="181" spans="1:1" ht="15.75" customHeight="1">
      <c r="A181" s="13"/>
    </row>
    <row r="182" spans="1:1" ht="15.75" customHeight="1">
      <c r="A182" s="13"/>
    </row>
    <row r="183" spans="1:1" ht="15.75" customHeight="1">
      <c r="A183" s="13"/>
    </row>
    <row r="184" spans="1:1" ht="15.75" customHeight="1">
      <c r="A184" s="13"/>
    </row>
    <row r="185" spans="1:1" ht="15.75" customHeight="1">
      <c r="A185" s="13"/>
    </row>
    <row r="186" spans="1:1" ht="15.75" customHeight="1">
      <c r="A186" s="13"/>
    </row>
    <row r="187" spans="1:1" ht="15.75" customHeight="1">
      <c r="A187" s="13"/>
    </row>
    <row r="188" spans="1:1" ht="15.75" customHeight="1">
      <c r="A188" s="13"/>
    </row>
    <row r="189" spans="1:1" ht="15.75" customHeight="1">
      <c r="A189" s="13"/>
    </row>
    <row r="190" spans="1:1" ht="15.75" customHeight="1">
      <c r="A190" s="13"/>
    </row>
    <row r="191" spans="1:1" ht="15.75" customHeight="1">
      <c r="A191" s="13"/>
    </row>
    <row r="192" spans="1:1" ht="15.75" customHeight="1">
      <c r="A192" s="13"/>
    </row>
    <row r="193" spans="1:1" ht="15.75" customHeight="1">
      <c r="A193" s="13"/>
    </row>
    <row r="194" spans="1:1" ht="15.75" customHeight="1">
      <c r="A194" s="13"/>
    </row>
    <row r="195" spans="1:1" ht="15.75" customHeight="1">
      <c r="A195" s="13"/>
    </row>
    <row r="196" spans="1:1" ht="15.75" customHeight="1">
      <c r="A196" s="13"/>
    </row>
    <row r="197" spans="1:1" ht="15.75" customHeight="1">
      <c r="A197" s="13"/>
    </row>
    <row r="198" spans="1:1" ht="15.75" customHeight="1">
      <c r="A198" s="13"/>
    </row>
    <row r="199" spans="1:1" ht="15.75" customHeight="1">
      <c r="A199" s="13"/>
    </row>
    <row r="200" spans="1:1" ht="15.75" customHeight="1">
      <c r="A200" s="13"/>
    </row>
    <row r="201" spans="1:1" ht="15.75" customHeight="1">
      <c r="A201" s="13"/>
    </row>
    <row r="202" spans="1:1" ht="15.75" customHeight="1">
      <c r="A202" s="13"/>
    </row>
    <row r="203" spans="1:1" ht="15.75" customHeight="1">
      <c r="A203" s="13"/>
    </row>
    <row r="204" spans="1:1" ht="15.75" customHeight="1">
      <c r="A204" s="13"/>
    </row>
    <row r="205" spans="1:1" ht="15.75" customHeight="1">
      <c r="A205" s="13"/>
    </row>
    <row r="206" spans="1:1" ht="15.75" customHeight="1">
      <c r="A206" s="13"/>
    </row>
    <row r="207" spans="1:1" ht="15.75" customHeight="1">
      <c r="A207" s="13"/>
    </row>
    <row r="208" spans="1:1" ht="15.75" customHeight="1">
      <c r="A208" s="13"/>
    </row>
    <row r="209" spans="1:1" ht="15.75" customHeight="1">
      <c r="A209" s="13"/>
    </row>
    <row r="210" spans="1:1" ht="15.75" customHeight="1">
      <c r="A210" s="13"/>
    </row>
    <row r="211" spans="1:1" ht="15.75" customHeight="1">
      <c r="A211" s="13"/>
    </row>
    <row r="212" spans="1:1" ht="15.75" customHeight="1">
      <c r="A212" s="13"/>
    </row>
    <row r="213" spans="1:1" ht="15.75" customHeight="1">
      <c r="A213" s="13"/>
    </row>
    <row r="214" spans="1:1" ht="15.75" customHeight="1">
      <c r="A214" s="13"/>
    </row>
    <row r="215" spans="1:1" ht="15.75" customHeight="1">
      <c r="A215" s="13"/>
    </row>
    <row r="216" spans="1:1" ht="15.75" customHeight="1">
      <c r="A216" s="13"/>
    </row>
    <row r="217" spans="1:1" ht="15.75" customHeight="1">
      <c r="A217" s="13"/>
    </row>
    <row r="218" spans="1:1" ht="15.75" customHeight="1">
      <c r="A218" s="13"/>
    </row>
    <row r="219" spans="1:1" ht="15.75" customHeight="1">
      <c r="A219" s="13"/>
    </row>
    <row r="220" spans="1:1" ht="15.75" customHeight="1">
      <c r="A220" s="13"/>
    </row>
    <row r="221" spans="1:1" ht="15.75" customHeight="1">
      <c r="A221" s="13"/>
    </row>
    <row r="222" spans="1:1" ht="15.75" customHeight="1">
      <c r="A222" s="13"/>
    </row>
    <row r="223" spans="1:1" ht="15.75" customHeight="1">
      <c r="A223" s="13"/>
    </row>
    <row r="224" spans="1:1" ht="15.75" customHeight="1">
      <c r="A224" s="13"/>
    </row>
    <row r="225" spans="1:1" ht="15.75" customHeight="1">
      <c r="A225" s="13"/>
    </row>
    <row r="226" spans="1:1" ht="15.75" customHeight="1">
      <c r="A226" s="13"/>
    </row>
    <row r="227" spans="1:1" ht="15.75" customHeight="1">
      <c r="A227" s="13"/>
    </row>
    <row r="228" spans="1:1" ht="15.75" customHeight="1"/>
    <row r="229" spans="1:1" ht="15.75" customHeight="1"/>
    <row r="230" spans="1:1" ht="15.75" customHeight="1"/>
    <row r="231" spans="1:1" ht="15.75" customHeight="1"/>
    <row r="232" spans="1:1" ht="15.75" customHeight="1"/>
    <row r="233" spans="1:1" ht="15.75" customHeight="1"/>
    <row r="234" spans="1:1" ht="15.75" customHeight="1"/>
    <row r="235" spans="1:1" ht="15.75" customHeight="1"/>
    <row r="236" spans="1:1" ht="15.75" customHeight="1"/>
    <row r="237" spans="1:1" ht="15.75" customHeight="1"/>
    <row r="238" spans="1:1" ht="15.75" customHeight="1"/>
    <row r="239" spans="1:1" ht="15.75" customHeight="1"/>
    <row r="240" spans="1:1"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AC1:AC2"/>
    <mergeCell ref="O1:P1"/>
    <mergeCell ref="M1:N1"/>
    <mergeCell ref="AD1:AD2"/>
    <mergeCell ref="A1:A2"/>
    <mergeCell ref="H1:H2"/>
    <mergeCell ref="I1:I2"/>
    <mergeCell ref="J1:J2"/>
    <mergeCell ref="K1:L1"/>
    <mergeCell ref="C1:C2"/>
    <mergeCell ref="B1:B2"/>
    <mergeCell ref="Q1:W1"/>
    <mergeCell ref="X1:X2"/>
    <mergeCell ref="Y1:Y2"/>
    <mergeCell ref="Z1:Z2"/>
    <mergeCell ref="AA1:AA2"/>
    <mergeCell ref="D1:E1"/>
    <mergeCell ref="F1:G1"/>
    <mergeCell ref="AB1:AB2"/>
  </mergeCells>
  <conditionalFormatting sqref="Q2:W2 M2:N2">
    <cfRule type="colorScale" priority="1">
      <colorScale>
        <cfvo type="min"/>
        <cfvo type="max"/>
        <color rgb="FFFFFFFF"/>
        <color rgb="FF57BB8A"/>
      </colorScale>
    </cfRule>
  </conditionalFormatting>
  <dataValidations count="2">
    <dataValidation type="list" allowBlank="1" showErrorMessage="1" sqref="J3:J13" xr:uid="{00000000-0002-0000-0000-000000000000}">
      <formula1>"Positive,Negative"</formula1>
    </dataValidation>
    <dataValidation type="list" allowBlank="1" showErrorMessage="1" sqref="AB3:AC13" xr:uid="{00000000-0002-0000-0000-000001000000}">
      <formula1>"Not Start,Inprogress,Failed,Passed,Skip,Block"</formula1>
    </dataValidation>
  </dataValidations>
  <hyperlinks>
    <hyperlink ref="D3" r:id="rId1" xr:uid="{467D18FD-4C59-4FC6-9D09-50986E528F4B}"/>
    <hyperlink ref="F3" r:id="rId2" xr:uid="{1DFC5B07-AFAD-4896-A1A6-4C36DB996EF7}"/>
    <hyperlink ref="D4" r:id="rId3" xr:uid="{8BAD3BF7-D932-40A7-AD45-A7800732E09E}"/>
    <hyperlink ref="F4" r:id="rId4" xr:uid="{08A5F2BF-CFC6-41A7-A1AE-3547E3C7B98F}"/>
    <hyperlink ref="D5" r:id="rId5" xr:uid="{99085573-0B70-425F-922D-5A51B3B7A558}"/>
    <hyperlink ref="F5" r:id="rId6" xr:uid="{2DFF35D4-D32F-4AD4-A581-98216A3B0E05}"/>
    <hyperlink ref="D6" r:id="rId7" xr:uid="{0517EC26-D1F2-42E5-95CC-7E8B64F15234}"/>
    <hyperlink ref="F6" r:id="rId8" xr:uid="{CCA68E38-1177-44C4-99C4-FB5F70B74742}"/>
    <hyperlink ref="D7" r:id="rId9" xr:uid="{B6845A40-23F1-479A-8C36-E4E07B3FC0DD}"/>
    <hyperlink ref="F7" r:id="rId10" xr:uid="{3C9477F1-13DE-46D6-880D-EE88CB2BA0A9}"/>
    <hyperlink ref="D8" r:id="rId11" xr:uid="{88470A93-0C58-47D9-AB9A-AD73588417CB}"/>
    <hyperlink ref="F8" r:id="rId12" xr:uid="{8AA1E5C6-B020-45EC-8F9C-5FBEBD9198A3}"/>
    <hyperlink ref="D9" r:id="rId13" xr:uid="{2D2648CB-C51A-4D67-AD3F-A96B2E851AB0}"/>
    <hyperlink ref="F9" r:id="rId14" xr:uid="{145E1E4E-4EC6-4D60-854B-7057C7499847}"/>
    <hyperlink ref="D10" r:id="rId15" xr:uid="{6D3EB60E-A9AE-472F-9941-949B89F71FF1}"/>
    <hyperlink ref="F10" r:id="rId16" xr:uid="{F452FBE5-EE3D-4A20-8520-30A854962E71}"/>
    <hyperlink ref="D11" r:id="rId17" xr:uid="{FF8F9D3F-7758-43A5-A53C-3C55C93A790B}"/>
    <hyperlink ref="F11" r:id="rId18" xr:uid="{763C5731-75E2-4EEE-943F-FFD2400383C0}"/>
    <hyperlink ref="D12" r:id="rId19" xr:uid="{0BEC5DC0-B851-4176-9935-F1B69C2976D7}"/>
    <hyperlink ref="F12" r:id="rId20" xr:uid="{F5BAC8FB-4793-449B-A581-633F6AFF52A1}"/>
    <hyperlink ref="D13" r:id="rId21" xr:uid="{45FAA5D2-7622-4521-958F-88E5E40DFA74}"/>
    <hyperlink ref="F13" r:id="rId22" xr:uid="{73DA1357-A2AB-4E87-B036-520530B1D48D}"/>
  </hyperlink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4238801-fdbf-48e7-ad7a-fa95ffe1e2d8">
      <Terms xmlns="http://schemas.microsoft.com/office/infopath/2007/PartnerControls"/>
    </lcf76f155ced4ddcb4097134ff3c332f>
    <TaxCatchAll xmlns="b8dc7d78-3728-400f-ae92-b0db10cb70d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860537B31A29749BF6C1BFDA4D9A5D4" ma:contentTypeVersion="11" ma:contentTypeDescription="Create a new document." ma:contentTypeScope="" ma:versionID="695c419b5e0679fa07d167faefefbc4d">
  <xsd:schema xmlns:xsd="http://www.w3.org/2001/XMLSchema" xmlns:xs="http://www.w3.org/2001/XMLSchema" xmlns:p="http://schemas.microsoft.com/office/2006/metadata/properties" xmlns:ns2="f4238801-fdbf-48e7-ad7a-fa95ffe1e2d8" xmlns:ns3="b8dc7d78-3728-400f-ae92-b0db10cb70d5" targetNamespace="http://schemas.microsoft.com/office/2006/metadata/properties" ma:root="true" ma:fieldsID="d84ed4d3c462b0244a2707733784458e" ns2:_="" ns3:_="">
    <xsd:import namespace="f4238801-fdbf-48e7-ad7a-fa95ffe1e2d8"/>
    <xsd:import namespace="b8dc7d78-3728-400f-ae92-b0db10cb70d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238801-fdbf-48e7-ad7a-fa95ffe1e2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41e4a55-089b-4a25-8dcc-f61471648be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8dc7d78-3728-400f-ae92-b0db10cb70d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5081bd-1069-4981-b561-32ed23c0ec8d}" ma:internalName="TaxCatchAll" ma:showField="CatchAllData" ma:web="b8dc7d78-3728-400f-ae92-b0db10cb70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9482098-750F-4A0E-BCB4-131320DB79DC}"/>
</file>

<file path=customXml/itemProps2.xml><?xml version="1.0" encoding="utf-8"?>
<ds:datastoreItem xmlns:ds="http://schemas.openxmlformats.org/officeDocument/2006/customXml" ds:itemID="{8F58F1C1-2A43-4613-83BC-45EF99D9D4BD}"/>
</file>

<file path=customXml/itemProps3.xml><?xml version="1.0" encoding="utf-8"?>
<ds:datastoreItem xmlns:ds="http://schemas.openxmlformats.org/officeDocument/2006/customXml" ds:itemID="{CB99D7C9-D564-4301-AEE2-BFF79925E70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Hataichanok Dumjun</cp:lastModifiedBy>
  <cp:revision/>
  <dcterms:created xsi:type="dcterms:W3CDTF">2026-02-18T09:49:22Z</dcterms:created>
  <dcterms:modified xsi:type="dcterms:W3CDTF">2026-06-25T18:58:27Z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0x0101004860537B31A29749BF6C1BFDA4D9A5D4</vt:lpwstr>
  </property>
  <property fmtid="{D5CDD505-2E9C-101B-9397-08002B2CF9AE}" pid="3" name="Order">
    <vt:r8>536800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MediaServiceImageTags">
    <vt:lpwstr/>
  </property>
  <property fmtid="{D5CDD505-2E9C-101B-9397-08002B2CF9AE}" pid="10" name="xd_Signature">
    <vt:bool>false</vt:bool>
  </property>
  <property fmtid="{D5CDD505-2E9C-101B-9397-08002B2CF9AE}" pid="11" name="xd_ProgID">
    <vt:lpwstr/>
  </property>
  <property fmtid="{D5CDD505-2E9C-101B-9397-08002B2CF9AE}" pid="12" name="Status">
    <vt:lpwstr>In progress</vt:lpwstr>
  </property>
  <property fmtid="{D5CDD505-2E9C-101B-9397-08002B2CF9AE}" pid="13" name="TemplateUrl">
    <vt:lpwstr/>
  </property>
</Properties>
</file>