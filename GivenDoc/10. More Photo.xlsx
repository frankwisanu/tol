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truecorp.sharepoint.com/sites/TrueCorp-TrueDtacTH-TotalAccessCommunicationPlc-TechM-Workingarea/Shared Documents/TCS-Project Hub/01. Project/2026/Project Docs/TPM240800011_260077_TOL New Journey (Sales Register) Phase1.1 ONE backlog/QA_Test Case &amp; Result/"/>
    </mc:Choice>
  </mc:AlternateContent>
  <xr:revisionPtr revIDLastSave="706" documentId="11_54C904DBFBD5F39756AD9588B588DA8FAAA5087E" xr6:coauthVersionLast="47" xr6:coauthVersionMax="47" xr10:uidLastSave="{EA8A136A-0F92-454B-BFA9-783EE4C8E995}"/>
  <bookViews>
    <workbookView xWindow="-110" yWindow="-110" windowWidth="19420" windowHeight="11500" firstSheet="1" activeTab="1" xr2:uid="{00000000-000D-0000-FFFF-FFFF00000000}"/>
  </bookViews>
  <sheets>
    <sheet name="Scope Backlog 1.1" sheetId="2" r:id="rId1"/>
    <sheet name="More Photo"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1" roundtripDataChecksum="pSi0BOJ+TqhvLbYGhSGrFVZDpnqhWumI6qgCPQnbvG4="/>
    </ext>
  </extLst>
</workbook>
</file>

<file path=xl/calcChain.xml><?xml version="1.0" encoding="utf-8"?>
<calcChain xmlns="http://schemas.openxmlformats.org/spreadsheetml/2006/main">
  <c r="AU33" i="1" l="1"/>
  <c r="AT33" i="1"/>
  <c r="AU32" i="1"/>
  <c r="AT32" i="1"/>
  <c r="AU31" i="1"/>
  <c r="AT31" i="1"/>
  <c r="AU30" i="1"/>
  <c r="AT30" i="1"/>
  <c r="AU29" i="1"/>
  <c r="AT29" i="1"/>
  <c r="AU28" i="1"/>
  <c r="AT28" i="1"/>
  <c r="AT36" i="1" l="1"/>
  <c r="AU36" i="1"/>
</calcChain>
</file>

<file path=xl/sharedStrings.xml><?xml version="1.0" encoding="utf-8"?>
<sst xmlns="http://schemas.openxmlformats.org/spreadsheetml/2006/main" count="430" uniqueCount="190">
  <si>
    <t>Refer epic Link</t>
  </si>
  <si>
    <t>Refer Backlog No.</t>
  </si>
  <si>
    <t>Funtion</t>
  </si>
  <si>
    <t>Test Result iOS</t>
  </si>
  <si>
    <t>Test Result Android</t>
  </si>
  <si>
    <t>Test Case No.</t>
  </si>
  <si>
    <t>Test Scenario</t>
  </si>
  <si>
    <t>Test Case Type</t>
  </si>
  <si>
    <t>Select Service Type</t>
  </si>
  <si>
    <t>Card type</t>
  </si>
  <si>
    <r>
      <rPr>
        <b/>
        <sz val="10"/>
        <color rgb="FF000000"/>
        <rFont val="Tahoma"/>
      </rPr>
      <t xml:space="preserve">More Photo
</t>
    </r>
    <r>
      <rPr>
        <sz val="8"/>
        <color rgb="FF0070C0"/>
        <rFont val="Tahoma"/>
      </rPr>
      <t>ขาออนไลน์ จะสร้าง 2 Form
1.Form OCR สำหรับ 1P/3P/2P 4POTT ExistngTMH -&gt; จะไม่ไป More Proto
2.Form OCR+Liveness สำหรับ 2P/4POTT New TMH-&gt; จะไป More Proto</t>
    </r>
  </si>
  <si>
    <t>กด "&lt;" back</t>
  </si>
  <si>
    <t>Take More Photo</t>
  </si>
  <si>
    <t>ถ่ายรูป+อัพโหลดรูป เพิ่มเติม</t>
  </si>
  <si>
    <t>Access Camera/Album</t>
  </si>
  <si>
    <t>Display Proto page</t>
  </si>
  <si>
    <t>Reached maximun number of image?</t>
  </si>
  <si>
    <t>Number of images on display page = 0</t>
  </si>
  <si>
    <t>Description
 (Design Step)</t>
  </si>
  <si>
    <t>Expected Result</t>
  </si>
  <si>
    <t>Test Case written by</t>
  </si>
  <si>
    <t>Execute by</t>
  </si>
  <si>
    <t>Status iOS</t>
  </si>
  <si>
    <t xml:space="preserve">Status android </t>
  </si>
  <si>
    <t>Test Result</t>
  </si>
  <si>
    <t>Actual Result
 (Design Step)</t>
  </si>
  <si>
    <t>Link Relate Story</t>
  </si>
  <si>
    <t>hh</t>
  </si>
  <si>
    <t>TMH</t>
  </si>
  <si>
    <t>TrueID</t>
  </si>
  <si>
    <t>FLP</t>
  </si>
  <si>
    <t>บัตรประชาชน</t>
  </si>
  <si>
    <t>หนังสือเดินทาง</t>
  </si>
  <si>
    <t>บัตรอื่นๆ</t>
  </si>
  <si>
    <t>Link</t>
  </si>
  <si>
    <t>Details</t>
  </si>
  <si>
    <t>บัตรต่างด้าว</t>
  </si>
  <si>
    <t>ใบอนุญาตทำงานแบบเล่ม</t>
  </si>
  <si>
    <t>บัตรอนุญาตทำงาน</t>
  </si>
  <si>
    <t>ใบขับขี่</t>
  </si>
  <si>
    <t>Face Recog+
Liveness</t>
  </si>
  <si>
    <t>Face Recog+
No Liveness</t>
  </si>
  <si>
    <t>No Face Recog+
No Liveness</t>
  </si>
  <si>
    <t>Manual KYC by 2nd Line Support</t>
  </si>
  <si>
    <t>ถ่ายเพิ่ม (Yes)</t>
  </si>
  <si>
    <t>ไปต่อ
(No)</t>
  </si>
  <si>
    <t>Take Photo</t>
  </si>
  <si>
    <t>Upload</t>
  </si>
  <si>
    <t>Access 1st Time</t>
  </si>
  <si>
    <t>Denied Access</t>
  </si>
  <si>
    <t>Allowed Access</t>
  </si>
  <si>
    <t>Access Some Image</t>
  </si>
  <si>
    <t>เพิ่มรูป</t>
  </si>
  <si>
    <t>ตกลง</t>
  </si>
  <si>
    <t>x ลบรูป</t>
  </si>
  <si>
    <t>ถ่ายครบ x รูป</t>
  </si>
  <si>
    <t>Yes</t>
  </si>
  <si>
    <t>No</t>
  </si>
  <si>
    <t>Online channel 
THL-1089</t>
  </si>
  <si>
    <t>3.Register TOL/CVG via online channel</t>
  </si>
  <si>
    <t>More Photo</t>
  </si>
  <si>
    <t>iOS</t>
  </si>
  <si>
    <t>Version Built : iOS TOL 73.6 (870)</t>
  </si>
  <si>
    <t>Android</t>
  </si>
  <si>
    <t>"Version Built :73.8.052804 (TOL-CICD)(312)</t>
  </si>
  <si>
    <t>ON_MORE_PHOTO_01</t>
  </si>
  <si>
    <t>Verify Nevigate More Photo page in this case:
- เลือก Prduct 1P/3P</t>
  </si>
  <si>
    <t>Positive</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</si>
  <si>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ทรูไอดีทีวี
        - User select : เบอร์มือถือบ้าน
6. Press รูปแบบการขาย "ออนไลน์"
7. Navigate to Customer ID Validation screen
     - Select card and Input Customer ID Same Location
8. Pass TOL Validation (NEW TOL)
9. Navigate to Customer Self-Verification QR / Ref Code : STAFF SCREEN
10. STAFF save image QR code sent to Customer
11. CUSTOMER Scan QR code and Customer Verification Pass
12. Verify Nevigate More Photo page</t>
  </si>
  <si>
    <t>1.Product 1P/3P สร้าง Form OCR อย่างเดียว
2.Not nevigate to Liveness/More Photo
3.Nevigate to Privilege page
**1P/3P จะข้ามหน้า  Liveness/More Photo เสมอ</t>
  </si>
  <si>
    <t>Wannapa Thongkham</t>
  </si>
  <si>
    <t>Thanat</t>
  </si>
  <si>
    <t>Passed</t>
  </si>
  <si>
    <t>Pass for 1P/3P</t>
  </si>
  <si>
    <t>Online channel 
THL-1090</t>
  </si>
  <si>
    <t>ON_MORE_PHOTO_02</t>
  </si>
  <si>
    <t>Verify Nevigate More Photo page in this case:
- เลือก Prduct 2P/4P has Existing TMH</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</si>
  <si>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Verify Nevigate More Photo page</t>
  </si>
  <si>
    <t>1.2P/4POTT ExistngTMH สร้าง Form OCR อย่างเดียว
2.Not nevigate to Liveness/More Photo
3.Nevigate to Privilege page</t>
  </si>
  <si>
    <t>Online channel 
THL-1091</t>
  </si>
  <si>
    <t>"Version Built :73.8.060417 (TOL-CICD)(318)</t>
  </si>
  <si>
    <t>ON_MORE_PHOTO_03</t>
  </si>
  <si>
    <r>
      <t>Verify Nevigate More Photo in this case:
- เลือก Prduct 2P ที่มี New TMH
- Card type : บัตรประชาชน</t>
    </r>
    <r>
      <rPr>
        <sz val="10"/>
        <rFont val="Tahoma"/>
      </rPr>
      <t xml:space="preserve">
- Press "ไปต่อ" button</t>
    </r>
  </si>
  <si>
    <t>X</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</si>
  <si>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Verify More Photo page
  - Press "ไปต่อ"</t>
  </si>
  <si>
    <t>1.สำหรับ 2P/4POTT New TMH- สร้าง Form OCR+Liveness
2.Display Face Compare and Display popup confirm "ต้องการถ่ายรูปเพิ่มเติม ?"
  - ถ่ายเพิ่ม
  - ไปต่อ
3.Press "ไปต่อ" Go to Privilege page.</t>
  </si>
  <si>
    <t>GIS: 
ID: 7441323653329
Ordre ID: 20260605-O-004</t>
  </si>
  <si>
    <t>GIS: 
ID: 3411700830334
Ordre ID: 20260605-O-0048678</t>
  </si>
  <si>
    <t>Online channel 
THL-1092</t>
  </si>
  <si>
    <t>ON_MORE_PHOTO_04</t>
  </si>
  <si>
    <t>Verify config More Photo in this case:
- เลือก Prduct 4POTT ที่มี New TMH
- Card type : หนังสือเดินทาง
- Press "ไปต่อ" button</t>
  </si>
  <si>
    <t>1.สำหรับ 2P/4POTT New TMH สร้าง Form OCR+Liveness
2.Display Face Compare and Display popup confirm "ต้องการถ่ายรูปเพิ่มเติม ?"
  - ถ่ายเพิ่ม
  - ไปต่อ
3.Press "ไปต่อ" Go to Privilege page.</t>
  </si>
  <si>
    <t>GIS: 
ID: 
Ordre ID: 20260604-O-004</t>
  </si>
  <si>
    <t>GIS: 
ID: AC100002
Ordre ID: 20260604-O-0048605</t>
  </si>
  <si>
    <t>Online channel 
THL-1093</t>
  </si>
  <si>
    <t>Android 73.8.060401 (TOL1.1)(319)</t>
  </si>
  <si>
    <t>ON_MORE_PHOTO_05</t>
  </si>
  <si>
    <r>
      <t xml:space="preserve">Verify config More Photo in this case:
- เลือก Prduct 2P ที่มี New TMH
- Card type : </t>
    </r>
    <r>
      <rPr>
        <sz val="10"/>
        <color rgb="FFFF0000"/>
        <rFont val="Tahoma"/>
        <family val="2"/>
      </rPr>
      <t>บัตรประชาชน</t>
    </r>
    <r>
      <rPr>
        <sz val="10"/>
        <color rgb="FF000000"/>
        <rFont val="Tahoma"/>
      </rPr>
      <t xml:space="preserve">
- Manual KYC by 2nd Line Support
- Press "ไปต่อ" button</t>
    </r>
  </si>
  <si>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Verify More Photo page
  - Press "ไปต่อ"</t>
  </si>
  <si>
    <t>1.สำหรับ 2P/4POTT New TMH สร้าง Form OCR+Liveness
2.Display popup confirm "ทีมหลังบ้านตรวจสอบเรียบร้อย ข้อมูลยืนยันตัวตนถูกต้อง ต้องการถ่ายรุปเพิ่มเติม?"
  - ถ่ายเพิ่ม
  - ไปต่อ
3.Press "ไปต่อ" Go to Privilege page.</t>
  </si>
  <si>
    <t>Online channel 
THL-1094</t>
  </si>
  <si>
    <t>ON_MORE_PHOTO_06</t>
  </si>
  <si>
    <t>Verify config More Photo in this case:
- เลือก Prduct 4POTT ที่มี New TMH
- Card type : หนังสือเดินทาง
- Manual KYC by 2nd Line Support
- Press "ไปต่อ" button</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</si>
  <si>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 Face Compare Not pass
  - Not Allow Manual KYC
  - Manual KYC 2nd line : Pass
14. Verify More Photo page
  - Press "ไปต่อ"</t>
  </si>
  <si>
    <t>Online channel 
THL-1095</t>
  </si>
  <si>
    <t>ON_MORE_PHOTO_07</t>
  </si>
  <si>
    <t>Verify More Photo in this case:
  - Press "ถ่ายเพิ่ม" button
  - Access 1st Time</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</si>
  <si>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 Face Compare Not pass
  - Not Allow Manual KYC
  - Manual KYC 2nd line : Pass
14. Verify More Photo page
  - Press "ถ่ายเพิ่ม"
15. Verify Access More Photo</t>
  </si>
  <si>
    <t>1.Display dialog Access Camera
อนุญาตให้ ONE ถ่ายรูปไหม
 - ขณะใช้แอป
 - เฉพาะครั้งนี้
 - ไม่อนุญาต
*เป็น Native ตาม OS นั้นๆ
2.Press "ขณะใช้แอป" เปิดกล้องถ่ายรูป
3.Press "เฉพาะครั้งนี้" เปิดกล้องถ่ายรูป(กรณีเข้าแอพมาใหม่จะแสดงข้อความให้ Acess ใหม่อีกครั้ง)
4.Press "ไม่อนุญาต" ไม่เปิดกล้องถ่ายรูป แสดงข้อความให้เปิดสิทธิ์การเข้าถึง</t>
  </si>
  <si>
    <t>Skip</t>
  </si>
  <si>
    <t>Testing on iPhone 6s on  Built : iOS TOL 73.6 (870) which doesn't found "Allow Permission" pop-up</t>
  </si>
  <si>
    <t>GIS: 231114944
ID: PS100004
Ordre ID: 20260605-O-0048682</t>
  </si>
  <si>
    <t>Online channel 
THL-1096</t>
  </si>
  <si>
    <t>ON_MORE_PHOTO_08</t>
  </si>
  <si>
    <t>Verify Access Camera More Photo in this case:
- Press "ถ่ายเพิ่ม" button
- Denied Access
- Press "ตั้งค่า"</t>
  </si>
  <si>
    <t>1.Display message "เปิดสิทธิ์การเข้าถึงกล้องถ่ายรูป หากต้องการถ่ายรูป กรุณาตั้งค่าให้ "ONE App" เข้าถึงกล้องถ่ายรูปบนอุปกรณ์ของคุณ"
  - ไปที่การตั้งค่า
2.Press "ไปที่การตั้งค่า" -&gt; Redirect to การตั้งค่า</t>
  </si>
  <si>
    <t>Online channel 
THL-1097</t>
  </si>
  <si>
    <t>Version Built : iOS TOL 73.3 (867)
ตรวจสอบ Video วินาทีที่ 3.21 - 5.03</t>
  </si>
  <si>
    <t>ON_MORE_PHOTO_09</t>
  </si>
  <si>
    <t>Verify More Photo in this case:
  - Press "ถ่ายเพิ่ม" button
  - Allowed Access
  - ถ่าย 1 รูป
  - Press "เพิ่มรูป"
  - Maximum Image : No
  - Press "ตกลง"</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</si>
  <si>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 Face Compare Not pass
  - Not Allow Manual KYC
  - Manual KYC 2nd line : Pass
14. Verify More Photo page
  - Press "ถ่ายเพิ่ม"
  - Verify Access More Photo
  - ถ่าย 1 รูป
  - Press "เพิ่มรูป"
  - Press "ตกลง"</t>
  </si>
  <si>
    <t>1.Default หน้าจอเป็นหน้าถ่ายรูป
2.After take photo display image
  - เพิ่มรูป
  - ตกลง
  - x ลบรูป
3.After Press "เพิ่มรูป"
  - หน้าจอเป็นหน้าถ่ายรูป
  - แสดงรูปที่ถ่ายถูกต้อง
  - Display image
    - เพิ่มรูป
    - ตกลง
    - x ลบรูป
  - สามารถเลื่อนดูรูปที่ถ่ายได้
4.Press "ตกลง" Go to Privilege page.</t>
  </si>
  <si>
    <t>Online channel 
THL-1100</t>
  </si>
  <si>
    <t>Version Built : iOS TOL 73.6 (870)
ตรวจสอบ Video วินาทีที่ 1:45 - 2:24</t>
  </si>
  <si>
    <t>"Version Built :73.8.060417 (TOL-CICD)(318)
ตรวจสอบ Video วินาทีที่ 0:00 - 1:12</t>
  </si>
  <si>
    <t>ON_MORE_PHOTO_10</t>
  </si>
  <si>
    <t>Verify More Photo - ถ่ายรูป in this case:
- Take Photo
- Press "เพิ่มรูป"
- Maximum Image : Yes (ถ่ายครบ x รูป)</t>
  </si>
  <si>
    <t>Negative</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</si>
  <si>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Verify More Photo page
  - Press "ถ่ายเพิ่ม"
  - Press "เพิ่มรูป" (ถ่ายครบ x รูป)</t>
  </si>
  <si>
    <t>1.Display popup message "ขออภัยค่ะ คุณสามารถเพิ่มรูป ได้สูงสุด x รูป"
  - ตกลง
2.Press "ตกลง" -&gt; Display Preview image</t>
  </si>
  <si>
    <t>Online channel 
THL-1103</t>
  </si>
  <si>
    <t>Version Built : iOS TOL 73.6 (870)
ตรวจสอบ Video วินาทีที่ 2:24 - 2:42</t>
  </si>
  <si>
    <t>"Version Built :73.8.060417 (TOL-CICD)(318)
ตรวจสอบ Video วินาทีที่ 1:12 - 1:42</t>
  </si>
  <si>
    <t>ON_MORE_PHOTO_11</t>
  </si>
  <si>
    <t>Verify More Photo - ถ่ายรูป in this case:
  - Press "x ลบรูป"
  - กรณี1 Press "ไม่ใช่" (ไม่ลบรูป)
  - กรณี2 Press "ใช่" (ลบรูป)
     - Number of images on display page = 0 : No
  - กรณี3 Press "ใช่" (ลบรูป) Number of images on display page = 0 : Yes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</si>
  <si>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Verify More Photo page
  - Press "ถ่ายเพิ่ม"
  - ถ่ายรูป
  - Press "x ลบรูป"
  - Press "ใช่"</t>
  </si>
  <si>
    <t>1.Display popup message "ลบรูปภาพ คุณต้องการลบภาพนี้ใช่หรือไม่?"
  - ไม่ใช่   -&gt; Close popup message
  - ใช่  -&gt; รูปภาพที่เลือกถูกลบ
2.กรณีลบรูป แต่ยังมีรูปคงเหลือ -&gt; แสดงรูปถ่ายคงเหลือ
3.กรณีลบรูปหมด กลับไป default tab ถ่ายรูป</t>
  </si>
  <si>
    <t>Online channel 
THL-1105</t>
  </si>
  <si>
    <t>ON_MORE_PHOTO_12</t>
  </si>
  <si>
    <t>Verify Access Images on Album More Photo in this case:
- Press "ถ่ายเพิ่ม" button
- Press เลือกรูปจากอัลบั้ม
- Access 1st Time : OS Version ที่ไม่มีการอนุญาตเข้าถึง</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</si>
  <si>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Verify More Photo page
  - Press "ถ่ายเพิ่ม"
15. Press เลือกรูปจากอัลบั้ม
16. Verify Access More Photo</t>
  </si>
  <si>
    <t>1.Display dialog Access Album
อนุญาตให้ ONE เข้าถึงรูปภาพในอุปกรณ์นี้ไหม
 - อนุญาต
 - ไม่อนุญาต
*เป็น Native ตาม OS นั้นๆ
2.Press "อนุญาต" เปิดอัลบั้มภาพให้เลือก
3.Press "ไม่อนุญาต" ไม่เปิดอัลบั้มภาพ แสดงข้อความให้เปิดสิทธิ์การเข้าถึง</t>
  </si>
  <si>
    <t>1.Display dialog Access Album
อนุญาตให้ ONE เข้าถึงรูปภาพในอุปกรณ์นี้ไหม
 - อนุญาตสิทธิ์เข้าถึงแบบจำกัด
 - อนุญาตทั้งหมด
 - ไม่อนุญาต
*เป็น Native ตาม OS นั้นๆ
2.Press "อนุญาตสิทธิ์เข้าถึงแบบจำกัด" เปิดอัลบั้มภาพให้เลือกบางภาพ
3.Press "อนุญาตทั้งหมด" เปิดอัลบั้มภาพให้เลือก
4.Press "ไม่อนุญาต" ไม่เปิดอัลบั้มภาพ แสดงข้อความให้เปิดสิทธิ์การเข้าถึง</t>
  </si>
  <si>
    <t>Online channel 
THL-1106</t>
  </si>
  <si>
    <t>ON_MORE_PHOTO_13</t>
  </si>
  <si>
    <t>Verify More Photo on Album in this case:
  - Press "ถ่ายเพิ่ม" button
  - Press เลือกรูปจากอัลบั้ม
  - Access 1st Time : OS Version ที่อนุญาตแบบ Partial</t>
  </si>
  <si>
    <t>Online channel 
THL-1107</t>
  </si>
  <si>
    <t>ON_MORE_PHOTO_14</t>
  </si>
  <si>
    <t xml:space="preserve">Verify Access Images on Album More Photo in this case:
- Press "ถ่ายเพิ่ม" button
- Press เลือกรูปจากอัลบั้ม
- Denied Access
- Press "ตั้งค่า" </t>
  </si>
  <si>
    <t>1.Display message "เปิดสิทธิ์การเข้าถึงรูปภาพ หากต้องการเลือกรูปจากอัลบั้ม กรุณาตั้งค่าให้ "ONE App" เข้าถึงรูปภาพในอุปกรณ์ของคุณ"
  - ไปที่การตั้งค่า
2.Press "ไปที่การตั้งค่า" -&gt; Redirect to การตั้งค่า</t>
  </si>
  <si>
    <t>Android 11 doesn’t support this function
iOS application will restart when change setting value</t>
  </si>
  <si>
    <t>Online channel 
THL-1108</t>
  </si>
  <si>
    <t>ON_MORE_PHOTO_15</t>
  </si>
  <si>
    <t>Verify Access Images on Album More Photo in this case:
  - Press "ถ่ายเพิ่ม" button
  - Press เลือกรูปจากอัลบั้ม
  - Allowed Access
  - กรณี1 เลือกรูปจากอัลบั้ม 1 รูป
  - กรณี2 Press "เพิ่มรูป"
    - Maximum Image : No
  - กรณี3 Press "ตกลง" ที่รูปภาพ</t>
  </si>
  <si>
    <r>
      <rPr>
        <b/>
        <sz val="10"/>
        <color rgb="FF000000"/>
        <rFont val="Tahoma"/>
      </rPr>
      <t xml:space="preserve">เลือกรูปจากอัลบั้ม 1 รูป
</t>
    </r>
    <r>
      <rPr>
        <sz val="10"/>
        <color rgb="FF000000"/>
        <rFont val="Tahoma"/>
      </rPr>
      <t xml:space="preserve">  1.แสดงรูปที่มีในอัลบั้มให้เลือก
  2.After select Photo Display image 1 รูป ถูกต้อง
    - เพิ่มรูป
    - ตกลง
    - x ลบรูป
</t>
    </r>
    <r>
      <rPr>
        <b/>
        <sz val="10"/>
        <color rgb="FF000000"/>
        <rFont val="Tahoma"/>
      </rPr>
      <t xml:space="preserve">กรณีเพิ่มรูปแต่ยังไม่ครบตามกำหนด
</t>
    </r>
    <r>
      <rPr>
        <sz val="10"/>
        <color rgb="FF000000"/>
        <rFont val="Tahoma"/>
      </rPr>
      <t xml:space="preserve">  1.กลับไปยังหน้าเลือกรูปจากอัลบั้ม
  2.สามารถเพิ่มรูปได้
  3.หน้า Preview แสดงรูปสุดท้ายที่เลือก และจุดไข่ปลา focus ที่รูปสุดท้าย
  4.รูปจะเรียงกันตามลำดับก่อนหลังที่เลือก
  5.แสดงปุ่ม
    - เพิ่มรูป
    - ตกลง
    - x ลบรูป
  4.สามารถเลื่อนดูรูปที่เลือกได้
</t>
    </r>
    <r>
      <rPr>
        <b/>
        <sz val="10"/>
        <color rgb="FF000000"/>
        <rFont val="Tahoma"/>
      </rPr>
      <t xml:space="preserve">กด "ตกลง"
</t>
    </r>
    <r>
      <rPr>
        <sz val="10"/>
        <color rgb="FF000000"/>
        <rFont val="Tahoma"/>
      </rPr>
      <t xml:space="preserve">  1.Go to Privilege page.</t>
    </r>
  </si>
  <si>
    <t>Online channel 
THL-1109</t>
  </si>
  <si>
    <t>ON_MORE_PHOTO_16</t>
  </si>
  <si>
    <t>Verify Access Images on Album More Photo in this case:
- Press "ถ่ายเพิ่ม" button
- Press เลือกรูปจากอัลบั้ม
- Access Some Image</t>
  </si>
  <si>
    <t>1.Display message "คุณได้รับการเข้าถึงรูปภาพแบบจำกัด"
  - จัดการ
2.Display dialog
คุณได้รับการเข้าถึงรูปภาพแบบจำกัด
 - เลือกรูปเพิ่มเติม
 - ไปที่การตั้งค่า
 - ยกเลิก
*เป็น Native ตาม OS นั้นๆ
3.กด "เลือกรูปเพิ่มเติม" แสดงรูปเพิ่มเติมให้เลือก
4.กด "ไปที่การตั้งค่า" Redirect to การตั้งค่า</t>
  </si>
  <si>
    <t>iOS application will restart when change setting value</t>
  </si>
  <si>
    <t>Online channel 
THL-1111</t>
  </si>
  <si>
    <t>Version Built : iOS TOL 73.6 (870)
ตรวจสอบ Video วินาทีที่ 2:42 - 2:55</t>
  </si>
  <si>
    <t>"Version Built :73.8.060417 (TOL-CICD)(318)
ตรวจสอบ Video วินาทีที่ 0:00 - 1:21</t>
  </si>
  <si>
    <t>ON_MORE_PHOTO_17</t>
  </si>
  <si>
    <t>Verify More Photo - เลือกรูปจากอัลบั้ม in this case:
  - กรณี1 เลือกรูปมากกว่า x รูป (เลือกมากกว่าที่กำหนดให้เลือกได้)
  - กรณี2 Press "เพิ่มรูป" (มีรูปครบ x รูป แล้วกดเพิ่มรูป)
  - Maximum Image : Yes (เพิ่มครบ x รูป)</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</si>
  <si>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Verify More Photo page
  - Press "ถ่ายเพิ่ม"
15. Press เลือกรูปจากอัลบั้ม
  - เลือกรูปจากอัลบั้มมากกว่าที่กำหนด</t>
  </si>
  <si>
    <r>
      <rPr>
        <b/>
        <sz val="10"/>
        <color rgb="FF000000"/>
        <rFont val="Tahoma"/>
      </rPr>
      <t xml:space="preserve">กรณีเลือกรูปจากอัลบั้มเกินกำหนด
</t>
    </r>
    <r>
      <rPr>
        <sz val="10"/>
        <color rgb="FF000000"/>
        <rFont val="Tahoma"/>
      </rPr>
      <t xml:space="preserve">  1.กรณี Config ให้เลือกรูปได้สูงสุด 7 รูป แล้วเลือกรูปที่ 8 จะไม่สามารถเลือกได้
  2.เมื่อคลิกรูปที่ 8 แสดง Popup message "ขออภัยค่ะ คุณสามารถเพิ่มรูป ได้สูงสุด x รูป"
    - ตกลง
  3.กด "ตกลง" แสดงหน้าล่าสุดที่ทำรายการ (แสดงหน้าเลือกรูปจากอัลบั้ม)
</t>
    </r>
    <r>
      <rPr>
        <b/>
        <sz val="10"/>
        <color rgb="FF000000"/>
        <rFont val="Tahoma"/>
      </rPr>
      <t xml:space="preserve">กรณีเพิ่มรูปครบตามจำนวนที่กำหนดแล้ว กดเพิ่มรูป
</t>
    </r>
    <r>
      <rPr>
        <sz val="10"/>
        <color rgb="FF000000"/>
        <rFont val="Tahoma"/>
      </rPr>
      <t xml:space="preserve">  1.Display popup message "ขออภัยค่ะ คุณสามารถเพิ่มรูป ได้สูงสุด x รูป"
    - ตกลง
  2.Press "ตกลง" -&gt; Display Preview image</t>
    </r>
  </si>
  <si>
    <t>Online channel 
THL-1115</t>
  </si>
  <si>
    <t>Version Built : iOS TOL 73.6 (870)
ตรวจสอบ Video วินาทีที่ 2:55 - 3:14</t>
  </si>
  <si>
    <t>"Version Built :73.8.060417 (TOL-CICD)(318)
ตรวจสอบ Video วินาทีที่ 1:21 - 1:56</t>
  </si>
  <si>
    <t>ON_MORE_PHOTO_18</t>
  </si>
  <si>
    <t>Verify More Photo - เลือกรูปจากอัลบั้ม in this case:
  - Press "x ลบรูป"
  - กรณี1 Press "ไม่ใช่" (ไม่ลบรูป)
  - กรณี2 Press "ใช่" (ลบรูป)
     - Number of images on display page = 0 : No
  - กรณี3 Press "ใช่" (ลบรูป) Number of images on display page = 0 : Yes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</si>
  <si>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Verify More Photo page
  - Press "ถ่ายเพิ่ม"
15. Press เลือกรูปจากอัลบั้ม
  - เพิ่มรูป
  - Press "x ลบรูป"</t>
  </si>
  <si>
    <t>1.Display popup message "ลบรูปภาพ คุณต้องการลบภาพนี้ใช่หรือไม่?"
  - ไม่ใช่  Press "ไม่ใช่" -&gt; Close popup message
  - ใช่ Press "ใช่" -&gt; รูปภาพที่เลือกถูกลบ
2.กรณีลบรูป แต่ยังมีรูปคงเหลือ -&gt; แสดงรูปถ่ายคงเหลือ
4.กรณีลบรูปหมด กลับไป default tab ถ่ายรูป</t>
  </si>
  <si>
    <t>Online channel 
THL-1118</t>
  </si>
  <si>
    <t>ON_MORE_PHOTO_19</t>
  </si>
  <si>
    <t>Verify "&lt;" back on More Photo in this case:
- Config : Face Recog+Liveness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</si>
  <si>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เบอร์มือถือบ้าน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Press "ถ่ายเพิ่ม" -&gt; Open More Photo
15. Verify "&lt;" Back button</t>
  </si>
  <si>
    <t>1.Go back to Face Compare and Display popup confirm "ต้องการถ่ายรูปเพิ่มเติม ?"
  - ถ่ายเพิ่ม
  - ไปต่อ</t>
  </si>
  <si>
    <t>Online channel 
THL-1122</t>
  </si>
  <si>
    <t>ON_MORE_PHOTO_20</t>
  </si>
  <si>
    <t>Verify "&lt;" back on More Photo in this case:
- มาจากการทำ Manual KYC 2nd line</t>
  </si>
  <si>
    <t>1.Go back to display popup confirm "ทีมหลังบ้านตรวจสอบเรียบร้อย ข้อมูลยืนยันตัวตนถูกต้อง ต้องการถ่ายรุปเพิ่มเติม?"
  - ถ่ายเพิ่ม
  - ไปต่อ</t>
  </si>
  <si>
    <t>Summary</t>
  </si>
  <si>
    <t>Not Start</t>
  </si>
  <si>
    <t>Inprogress</t>
  </si>
  <si>
    <t>Fail</t>
  </si>
  <si>
    <t>Block</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</si>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</sst>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b/>
      <sz val="10"/>
      <color theme="1"/>
      <name val="Tahoma"/>
    </font>
    <font>
      <sz val="10"/>
      <color theme="1"/>
      <name val="Tahoma"/>
    </font>
    <font>
      <sz val="9"/>
      <color theme="1"/>
      <name val="Tahoma"/>
    </font>
    <font>
      <sz val="10"/>
      <color rgb="FF000000"/>
      <name val="Tahoma"/>
    </font>
    <font>
      <u/>
      <sz val="10"/>
      <color rgb="FF0563C1"/>
      <name val="Tahoma"/>
    </font>
    <font>
      <sz val="10"/>
      <color rgb="FFFF0000"/>
      <name val="Tahoma"/>
    </font>
    <font>
      <u/>
      <sz val="10"/>
      <color rgb="FF0000FF"/>
      <name val="Tahoma"/>
    </font>
    <font>
      <b/>
      <sz val="10"/>
      <color rgb="FF000000"/>
      <name val="Tahoma"/>
    </font>
    <font>
      <b/>
      <sz val="10"/>
      <name val="Tahoma"/>
    </font>
    <font>
      <sz val="9"/>
      <color rgb="FF000000"/>
      <name val="Tahoma"/>
    </font>
    <font>
      <sz val="11"/>
      <color theme="1"/>
      <name val="Tahoma"/>
    </font>
    <font>
      <sz val="11"/>
      <name val="Tahoma"/>
    </font>
    <font>
      <strike/>
      <sz val="10"/>
      <color rgb="FF000000"/>
      <name val="Tahoma"/>
    </font>
    <font>
      <sz val="8"/>
      <color rgb="FF0070C0"/>
      <name val="Tahoma"/>
    </font>
    <font>
      <u/>
      <sz val="11"/>
      <color theme="10"/>
      <name val="Calibri"/>
      <scheme val="minor"/>
    </font>
    <font>
      <sz val="10"/>
      <color rgb="FF000000"/>
      <name val="Tahoma"/>
      <family val="2"/>
    </font>
    <font>
      <sz val="10"/>
      <color theme="1"/>
      <name val="Tahoma"/>
      <family val="2"/>
    </font>
    <font>
      <sz val="10"/>
      <color rgb="FFFF0000"/>
      <name val="Tahoma"/>
      <family val="2"/>
    </font>
    <font>
      <sz val="10"/>
      <name val="Tahoma"/>
    </font>
    <font>
      <sz val="10"/>
      <name val="Tahoma"/>
      <family val="2"/>
    </font>
  </fonts>
  <fills count="21">
    <fill>
      <patternFill patternType="none"/>
    </fill>
    <fill>
      <patternFill patternType="gray125"/>
    </fill>
    <fill>
      <patternFill patternType="solid">
        <fgColor rgb="FF4A86E8"/>
        <bgColor rgb="FF4A86E8"/>
      </patternFill>
    </fill>
    <fill>
      <patternFill patternType="solid">
        <fgColor rgb="FFE6B8AF"/>
        <bgColor rgb="FFE6B8AF"/>
      </patternFill>
    </fill>
    <fill>
      <patternFill patternType="solid">
        <fgColor rgb="FFB6D7A8"/>
        <bgColor rgb="FFB6D7A8"/>
      </patternFill>
    </fill>
    <fill>
      <patternFill patternType="solid">
        <fgColor rgb="FFD9EAD3"/>
        <bgColor rgb="FFD9EAD3"/>
      </patternFill>
    </fill>
    <fill>
      <patternFill patternType="solid">
        <fgColor rgb="FF92CDDC"/>
        <bgColor rgb="FF92CDDC"/>
      </patternFill>
    </fill>
    <fill>
      <patternFill patternType="solid">
        <fgColor rgb="FFB4A7D6"/>
        <bgColor rgb="FFB4A7D6"/>
      </patternFill>
    </fill>
    <fill>
      <patternFill patternType="solid">
        <fgColor rgb="FFFCE5CD"/>
        <bgColor rgb="FFFCE5CD"/>
      </patternFill>
    </fill>
    <fill>
      <patternFill patternType="solid">
        <fgColor rgb="FF999999"/>
        <bgColor rgb="FF999999"/>
      </patternFill>
    </fill>
    <fill>
      <patternFill patternType="solid">
        <fgColor rgb="FFFFFFFF"/>
        <bgColor rgb="FFFFFFFF"/>
      </patternFill>
    </fill>
    <fill>
      <patternFill patternType="solid">
        <fgColor rgb="FF339966"/>
        <bgColor rgb="FF339966"/>
      </patternFill>
    </fill>
    <fill>
      <patternFill patternType="solid">
        <fgColor rgb="FFFFFF00"/>
        <bgColor rgb="FFFFFF00"/>
      </patternFill>
    </fill>
    <fill>
      <patternFill patternType="solid">
        <fgColor rgb="FFFCE4D6"/>
        <bgColor rgb="FF000000"/>
      </patternFill>
    </fill>
    <fill>
      <patternFill patternType="solid">
        <fgColor rgb="FFF8CBAD"/>
        <bgColor rgb="FF000000"/>
      </patternFill>
    </fill>
    <fill>
      <patternFill patternType="solid">
        <fgColor theme="7" tint="0.79998168889431442"/>
        <bgColor indexed="64"/>
      </patternFill>
    </fill>
    <fill>
      <patternFill patternType="solid">
        <fgColor theme="0" tint="-0.34998626667073579"/>
        <bgColor indexed="64"/>
      </patternFill>
    </fill>
    <fill>
      <patternFill patternType="solid">
        <fgColor rgb="FF00B05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s>
  <borders count="17">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5" fillId="0" borderId="0" applyNumberFormat="0" applyFill="0" applyBorder="0" applyAlignment="0" applyProtection="0"/>
  </cellStyleXfs>
  <cellXfs count="138">
    <xf numFmtId="0" fontId="0" fillId="0" borderId="0" xfId="0"/>
    <xf numFmtId="0" fontId="2" fillId="0" borderId="0" xfId="0" applyFont="1" applyAlignment="1">
      <alignment horizontal="center" vertical="center"/>
    </xf>
    <xf numFmtId="0" fontId="3" fillId="3"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8" borderId="7" xfId="0" applyFont="1" applyFill="1" applyBorder="1" applyAlignment="1">
      <alignment horizontal="center" vertical="center"/>
    </xf>
    <xf numFmtId="0" fontId="3" fillId="0" borderId="0" xfId="0" applyFont="1" applyAlignment="1">
      <alignment horizontal="center" vertical="center"/>
    </xf>
    <xf numFmtId="0" fontId="2" fillId="0" borderId="7" xfId="0" applyFont="1" applyBorder="1" applyAlignment="1">
      <alignment horizontal="center" vertical="top" wrapText="1"/>
    </xf>
    <xf numFmtId="0" fontId="2" fillId="0" borderId="2" xfId="0" applyFont="1" applyBorder="1" applyAlignment="1">
      <alignment horizontal="left" vertical="top"/>
    </xf>
    <xf numFmtId="0" fontId="4" fillId="0" borderId="7" xfId="0" applyFont="1" applyBorder="1" applyAlignment="1">
      <alignment horizontal="left" vertical="top" wrapText="1"/>
    </xf>
    <xf numFmtId="0" fontId="2" fillId="0" borderId="7" xfId="0" applyFont="1" applyBorder="1" applyAlignment="1">
      <alignment vertical="top"/>
    </xf>
    <xf numFmtId="0" fontId="2" fillId="0" borderId="6" xfId="0" applyFont="1" applyBorder="1" applyAlignment="1">
      <alignment horizontal="center" vertical="top" wrapText="1"/>
    </xf>
    <xf numFmtId="0" fontId="5" fillId="0" borderId="7" xfId="0" applyFont="1" applyBorder="1" applyAlignment="1">
      <alignment vertical="top" wrapText="1"/>
    </xf>
    <xf numFmtId="0" fontId="2" fillId="0" borderId="7" xfId="0" applyFont="1" applyBorder="1" applyAlignment="1">
      <alignment horizontal="center" vertical="top"/>
    </xf>
    <xf numFmtId="0" fontId="2" fillId="0" borderId="0" xfId="0" applyFont="1" applyAlignment="1">
      <alignment vertical="top"/>
    </xf>
    <xf numFmtId="0" fontId="2" fillId="0" borderId="7" xfId="0" applyFont="1" applyBorder="1" applyAlignment="1">
      <alignment vertical="top" wrapText="1"/>
    </xf>
    <xf numFmtId="0" fontId="4" fillId="10" borderId="7" xfId="0" applyFont="1" applyFill="1" applyBorder="1" applyAlignment="1">
      <alignment horizontal="left" vertical="top" wrapText="1"/>
    </xf>
    <xf numFmtId="0" fontId="6" fillId="0" borderId="7" xfId="0" applyFont="1" applyBorder="1" applyAlignment="1">
      <alignment horizontal="center" vertical="top" wrapText="1"/>
    </xf>
    <xf numFmtId="0" fontId="7" fillId="0" borderId="7" xfId="0" applyFont="1" applyBorder="1" applyAlignment="1">
      <alignment vertical="top" wrapText="1"/>
    </xf>
    <xf numFmtId="0" fontId="2" fillId="0" borderId="0" xfId="0" applyFont="1"/>
    <xf numFmtId="0" fontId="8" fillId="0" borderId="0" xfId="0" applyFont="1" applyAlignment="1">
      <alignment horizontal="right"/>
    </xf>
    <xf numFmtId="0" fontId="4" fillId="0" borderId="0" xfId="0" applyFont="1" applyAlignment="1">
      <alignment horizontal="center"/>
    </xf>
    <xf numFmtId="0" fontId="8" fillId="12" borderId="9" xfId="0" applyFont="1" applyFill="1" applyBorder="1"/>
    <xf numFmtId="0" fontId="8" fillId="12" borderId="9" xfId="0" applyFont="1" applyFill="1" applyBorder="1" applyAlignment="1">
      <alignment horizontal="center"/>
    </xf>
    <xf numFmtId="0" fontId="4" fillId="0" borderId="0" xfId="0" applyFont="1"/>
    <xf numFmtId="0" fontId="8" fillId="0" borderId="0" xfId="0" applyFont="1" applyAlignment="1">
      <alignment horizontal="center"/>
    </xf>
    <xf numFmtId="0" fontId="8" fillId="0" borderId="10" xfId="0" applyFont="1" applyBorder="1" applyAlignment="1">
      <alignment horizontal="center"/>
    </xf>
    <xf numFmtId="0" fontId="8" fillId="0" borderId="11" xfId="0" applyFont="1" applyBorder="1" applyAlignment="1">
      <alignment horizontal="right"/>
    </xf>
    <xf numFmtId="0" fontId="4" fillId="11" borderId="8" xfId="0" applyFont="1" applyFill="1" applyBorder="1" applyAlignment="1">
      <alignment horizontal="center" vertical="center"/>
    </xf>
    <xf numFmtId="0" fontId="2" fillId="0" borderId="0" xfId="0" applyFont="1" applyAlignment="1">
      <alignment horizontal="center"/>
    </xf>
    <xf numFmtId="0" fontId="4" fillId="0" borderId="8" xfId="0" applyFont="1" applyBorder="1" applyAlignment="1">
      <alignment horizontal="left" vertical="top" wrapText="1"/>
    </xf>
    <xf numFmtId="0" fontId="4" fillId="0" borderId="8" xfId="0" applyFont="1" applyBorder="1" applyAlignment="1">
      <alignment horizontal="center" vertical="center"/>
    </xf>
    <xf numFmtId="10" fontId="4" fillId="0" borderId="8" xfId="0" applyNumberFormat="1" applyFont="1" applyBorder="1" applyAlignment="1">
      <alignment horizontal="center" vertical="center"/>
    </xf>
    <xf numFmtId="0" fontId="4" fillId="0" borderId="8" xfId="0" applyFont="1" applyBorder="1" applyAlignment="1">
      <alignment horizontal="center" vertical="top" wrapText="1"/>
    </xf>
    <xf numFmtId="0" fontId="4" fillId="0" borderId="7" xfId="0" applyFont="1" applyBorder="1" applyAlignment="1">
      <alignment horizontal="center" vertical="top" wrapText="1"/>
    </xf>
    <xf numFmtId="0" fontId="4" fillId="9" borderId="8" xfId="0" applyFont="1" applyFill="1" applyBorder="1" applyAlignment="1">
      <alignment horizontal="center" vertical="top" wrapText="1"/>
    </xf>
    <xf numFmtId="0" fontId="11" fillId="0" borderId="0" xfId="0" applyFont="1"/>
    <xf numFmtId="0" fontId="2" fillId="0" borderId="2" xfId="0" applyFont="1" applyBorder="1" applyAlignment="1">
      <alignment vertical="top"/>
    </xf>
    <xf numFmtId="0" fontId="4" fillId="0" borderId="1" xfId="0" applyFont="1" applyBorder="1" applyAlignment="1">
      <alignment horizontal="left" vertical="top" wrapText="1"/>
    </xf>
    <xf numFmtId="0" fontId="4" fillId="0" borderId="6" xfId="0" applyFont="1" applyBorder="1" applyAlignment="1">
      <alignment horizontal="left" vertical="top" wrapText="1"/>
    </xf>
    <xf numFmtId="0" fontId="2" fillId="0" borderId="1" xfId="0" applyFont="1" applyBorder="1" applyAlignment="1">
      <alignment horizontal="center" vertical="top" wrapText="1"/>
    </xf>
    <xf numFmtId="0" fontId="4" fillId="10" borderId="1" xfId="0" applyFont="1" applyFill="1" applyBorder="1" applyAlignment="1">
      <alignment horizontal="left" vertical="top" wrapText="1"/>
    </xf>
    <xf numFmtId="0" fontId="4" fillId="10" borderId="6" xfId="0" applyFont="1" applyFill="1" applyBorder="1" applyAlignment="1">
      <alignment horizontal="left" vertical="top" wrapText="1"/>
    </xf>
    <xf numFmtId="0" fontId="8" fillId="14" borderId="7"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0" borderId="15" xfId="0" applyFont="1" applyBorder="1" applyAlignment="1">
      <alignment horizontal="center" vertical="top" wrapText="1"/>
    </xf>
    <xf numFmtId="0" fontId="4" fillId="10" borderId="15" xfId="0" applyFont="1" applyFill="1" applyBorder="1" applyAlignment="1">
      <alignment horizontal="left" vertical="top" wrapText="1"/>
    </xf>
    <xf numFmtId="0" fontId="4" fillId="0" borderId="10" xfId="0" applyFont="1" applyBorder="1" applyAlignment="1">
      <alignment horizontal="left" vertical="top" wrapText="1"/>
    </xf>
    <xf numFmtId="0" fontId="4" fillId="15" borderId="7" xfId="0" applyFont="1" applyFill="1" applyBorder="1" applyAlignment="1">
      <alignment horizontal="left" vertical="top" wrapText="1"/>
    </xf>
    <xf numFmtId="0" fontId="4" fillId="16" borderId="8" xfId="0" applyFont="1" applyFill="1" applyBorder="1" applyAlignment="1">
      <alignment horizontal="center" vertical="top" wrapText="1"/>
    </xf>
    <xf numFmtId="0" fontId="13" fillId="16" borderId="8" xfId="0" applyFont="1" applyFill="1" applyBorder="1" applyAlignment="1">
      <alignment horizontal="center" vertical="top" wrapText="1"/>
    </xf>
    <xf numFmtId="0" fontId="4" fillId="16" borderId="7" xfId="0" applyFont="1" applyFill="1" applyBorder="1" applyAlignment="1">
      <alignment horizontal="center" vertical="top" wrapText="1"/>
    </xf>
    <xf numFmtId="0" fontId="3" fillId="16" borderId="7" xfId="0" applyFont="1" applyFill="1" applyBorder="1" applyAlignment="1">
      <alignment horizontal="center" vertical="center" wrapText="1"/>
    </xf>
    <xf numFmtId="0" fontId="8" fillId="0" borderId="9" xfId="0" applyFont="1" applyBorder="1" applyAlignment="1">
      <alignment horizontal="center"/>
    </xf>
    <xf numFmtId="0" fontId="4" fillId="0" borderId="9" xfId="0" applyFont="1" applyBorder="1" applyAlignment="1">
      <alignment horizontal="center" vertical="center"/>
    </xf>
    <xf numFmtId="0" fontId="4" fillId="11" borderId="9" xfId="0" applyFont="1" applyFill="1" applyBorder="1" applyAlignment="1">
      <alignment horizontal="center" vertical="center"/>
    </xf>
    <xf numFmtId="10" fontId="4" fillId="0" borderId="9" xfId="0" applyNumberFormat="1" applyFont="1" applyBorder="1" applyAlignment="1">
      <alignment horizontal="center" vertical="center"/>
    </xf>
    <xf numFmtId="0" fontId="2" fillId="17" borderId="6" xfId="0" applyFont="1" applyFill="1" applyBorder="1" applyAlignment="1">
      <alignment horizontal="center" vertical="top" wrapText="1"/>
    </xf>
    <xf numFmtId="0" fontId="2" fillId="0" borderId="2" xfId="0" applyFont="1" applyBorder="1" applyAlignment="1">
      <alignment horizontal="center" vertical="top" wrapText="1"/>
    </xf>
    <xf numFmtId="0" fontId="9" fillId="18" borderId="1" xfId="0" applyFont="1" applyFill="1" applyBorder="1" applyAlignment="1">
      <alignment horizontal="center" vertical="center"/>
    </xf>
    <xf numFmtId="0" fontId="4" fillId="0" borderId="2" xfId="1" applyFont="1" applyBorder="1" applyAlignment="1">
      <alignment vertical="top" wrapText="1"/>
    </xf>
    <xf numFmtId="0" fontId="15" fillId="0" borderId="7" xfId="1" applyBorder="1" applyAlignment="1">
      <alignment horizontal="center" vertical="top"/>
    </xf>
    <xf numFmtId="0" fontId="16" fillId="0" borderId="7" xfId="0" applyFont="1" applyBorder="1" applyAlignment="1">
      <alignment horizontal="left" vertical="top" wrapText="1"/>
    </xf>
    <xf numFmtId="0" fontId="16" fillId="0" borderId="1" xfId="0" applyFont="1" applyBorder="1" applyAlignment="1">
      <alignment horizontal="left" vertical="top" wrapText="1"/>
    </xf>
    <xf numFmtId="0" fontId="0" fillId="0" borderId="16" xfId="0" applyBorder="1" applyAlignment="1">
      <alignment horizontal="center" vertical="top"/>
    </xf>
    <xf numFmtId="0" fontId="16" fillId="0" borderId="16" xfId="0" applyFont="1" applyBorder="1" applyAlignment="1">
      <alignment horizontal="left" vertical="top" wrapText="1"/>
    </xf>
    <xf numFmtId="0" fontId="15" fillId="0" borderId="9" xfId="1" applyFill="1" applyBorder="1" applyAlignment="1">
      <alignment horizontal="center" vertical="top"/>
    </xf>
    <xf numFmtId="0" fontId="16" fillId="16" borderId="8" xfId="0" applyFont="1" applyFill="1" applyBorder="1" applyAlignment="1">
      <alignment horizontal="center" vertical="top" wrapText="1"/>
    </xf>
    <xf numFmtId="0" fontId="15" fillId="0" borderId="16" xfId="1" applyFill="1" applyBorder="1" applyAlignment="1">
      <alignment horizontal="center" vertical="top"/>
    </xf>
    <xf numFmtId="0" fontId="2" fillId="19" borderId="2" xfId="0" applyFont="1" applyFill="1" applyBorder="1" applyAlignment="1">
      <alignment horizontal="left" vertical="top"/>
    </xf>
    <xf numFmtId="0" fontId="17" fillId="0" borderId="0" xfId="0" applyFont="1" applyAlignment="1">
      <alignment vertical="top" wrapText="1"/>
    </xf>
    <xf numFmtId="0" fontId="17" fillId="0" borderId="2" xfId="0" applyFont="1" applyBorder="1" applyAlignment="1">
      <alignment horizontal="left" vertical="top"/>
    </xf>
    <xf numFmtId="0" fontId="20" fillId="0" borderId="16" xfId="0" applyFont="1" applyBorder="1" applyAlignment="1">
      <alignment horizontal="left" vertical="top" wrapText="1"/>
    </xf>
    <xf numFmtId="0" fontId="19" fillId="0" borderId="2" xfId="0" applyFont="1" applyBorder="1" applyAlignment="1">
      <alignment horizontal="left" vertical="top"/>
    </xf>
    <xf numFmtId="0" fontId="20" fillId="0" borderId="7" xfId="0" applyFont="1" applyBorder="1" applyAlignment="1">
      <alignment horizontal="left" vertical="top" wrapText="1"/>
    </xf>
    <xf numFmtId="0" fontId="15" fillId="0" borderId="16" xfId="1" applyBorder="1" applyAlignment="1">
      <alignment horizontal="center" vertical="top"/>
    </xf>
    <xf numFmtId="0" fontId="15" fillId="0" borderId="2" xfId="1" applyBorder="1" applyAlignment="1">
      <alignment horizontal="center" vertical="top"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6" xfId="0" applyFont="1" applyFill="1" applyBorder="1" applyAlignment="1">
      <alignment horizontal="center" vertical="center"/>
    </xf>
    <xf numFmtId="0" fontId="8" fillId="14" borderId="3" xfId="0" applyFont="1" applyFill="1" applyBorder="1" applyAlignment="1">
      <alignment horizontal="center" vertical="center" wrapText="1"/>
    </xf>
    <xf numFmtId="0" fontId="8" fillId="14" borderId="5" xfId="0" applyFont="1" applyFill="1" applyBorder="1" applyAlignment="1">
      <alignment horizontal="center" vertical="center" wrapText="1"/>
    </xf>
    <xf numFmtId="0" fontId="8" fillId="14"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8" fillId="14" borderId="8"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8" fillId="14" borderId="14" xfId="0" applyFont="1" applyFill="1" applyBorder="1" applyAlignment="1">
      <alignment horizontal="center" vertical="center" wrapText="1"/>
    </xf>
    <xf numFmtId="0" fontId="1" fillId="18" borderId="3" xfId="0" applyFont="1" applyFill="1" applyBorder="1" applyAlignment="1">
      <alignment horizontal="center" vertical="center" wrapText="1"/>
    </xf>
    <xf numFmtId="0" fontId="1" fillId="18" borderId="4" xfId="0" applyFont="1" applyFill="1" applyBorder="1" applyAlignment="1">
      <alignment horizontal="center" vertical="center" wrapText="1"/>
    </xf>
    <xf numFmtId="0" fontId="1" fillId="18" borderId="14" xfId="0" applyFont="1" applyFill="1" applyBorder="1" applyAlignment="1">
      <alignment horizontal="center" vertical="center" wrapText="1"/>
    </xf>
    <xf numFmtId="0" fontId="1" fillId="18" borderId="8" xfId="0" applyFont="1" applyFill="1" applyBorder="1" applyAlignment="1">
      <alignment horizontal="center" vertical="center" wrapText="1"/>
    </xf>
    <xf numFmtId="0" fontId="9" fillId="14" borderId="5" xfId="0" applyFont="1" applyFill="1" applyBorder="1" applyAlignment="1">
      <alignment horizontal="center" vertical="center"/>
    </xf>
    <xf numFmtId="0" fontId="9" fillId="14" borderId="4"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8" fillId="13" borderId="3" xfId="0" applyFont="1" applyFill="1" applyBorder="1" applyAlignment="1">
      <alignment horizontal="center" vertical="center" wrapText="1"/>
    </xf>
    <xf numFmtId="0" fontId="8" fillId="13" borderId="5" xfId="0" applyFont="1" applyFill="1" applyBorder="1" applyAlignment="1">
      <alignment horizontal="center" vertical="center" wrapText="1"/>
    </xf>
    <xf numFmtId="0" fontId="10" fillId="13" borderId="7"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14"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2" fillId="20" borderId="6" xfId="0" applyFont="1" applyFill="1" applyBorder="1" applyAlignment="1">
      <alignment horizontal="center" vertical="top" wrapText="1"/>
    </xf>
    <xf numFmtId="0" fontId="15" fillId="0" borderId="0" xfId="1" applyAlignment="1">
      <alignment horizontal="center" vertical="top"/>
    </xf>
    <xf numFmtId="0" fontId="16" fillId="0" borderId="16" xfId="0" applyFont="1" applyFill="1" applyBorder="1" applyAlignment="1">
      <alignment horizontal="left" vertical="top" wrapText="1"/>
    </xf>
    <xf numFmtId="0" fontId="2" fillId="0" borderId="2" xfId="0" applyFont="1" applyFill="1" applyBorder="1" applyAlignment="1">
      <alignment horizontal="left" vertical="top"/>
    </xf>
    <xf numFmtId="0" fontId="16" fillId="0" borderId="7" xfId="0" applyFont="1" applyFill="1" applyBorder="1" applyAlignment="1">
      <alignment horizontal="left" vertical="top" wrapText="1"/>
    </xf>
    <xf numFmtId="0" fontId="12" fillId="0" borderId="6" xfId="0" applyFont="1" applyBorder="1" applyAlignment="1"/>
    <xf numFmtId="0" fontId="12" fillId="0" borderId="14" xfId="0" applyFont="1" applyBorder="1" applyAlignment="1"/>
    <xf numFmtId="0" fontId="12" fillId="0" borderId="8" xfId="0" applyFont="1" applyBorder="1" applyAlignment="1"/>
  </cellXfs>
  <cellStyles count="2">
    <cellStyle name="Hyperlink" xfId="1" builtinId="8"/>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theme" Target="theme/theme1.xml"/><Relationship Id="rId47" Type="http://schemas.openxmlformats.org/officeDocument/2006/relationships/customXml" Target="../customXml/item2.xml"/><Relationship Id="rId46" Type="http://schemas.openxmlformats.org/officeDocument/2006/relationships/customXml" Target="../customXml/item1.xml"/><Relationship Id="rId2" Type="http://schemas.openxmlformats.org/officeDocument/2006/relationships/worksheet" Target="worksheets/sheet2.xml"/><Relationship Id="rId41" Type="http://customschemas.google.com/relationships/workbookmetadata" Target="metadata"/><Relationship Id="rId1" Type="http://schemas.openxmlformats.org/officeDocument/2006/relationships/worksheet" Target="worksheets/sheet1.xml"/><Relationship Id="rId45" Type="http://schemas.openxmlformats.org/officeDocument/2006/relationships/calcChain" Target="calcChain.xml"/><Relationship Id="rId44" Type="http://schemas.openxmlformats.org/officeDocument/2006/relationships/sharedStrings" Target="sharedStrings.xml"/><Relationship Id="rId43" Type="http://schemas.openxmlformats.org/officeDocument/2006/relationships/styles" Target="styles.xml"/><Relationship Id="rId48"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590550</xdr:colOff>
      <xdr:row>19</xdr:row>
      <xdr:rowOff>171450</xdr:rowOff>
    </xdr:to>
    <xdr:pic>
      <xdr:nvPicPr>
        <xdr:cNvPr id="2" name="Picture 1">
          <a:extLst>
            <a:ext uri="{FF2B5EF4-FFF2-40B4-BE49-F238E27FC236}">
              <a16:creationId xmlns:a16="http://schemas.microsoft.com/office/drawing/2014/main" id="{9D0FACE9-CB0C-4A48-AC84-EE989DA55BEC}"/>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9124950" cy="3790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3/Android/ADR_ON_MorePhoto_03.mp4?csf=1&amp;web=1&amp;e=jcuhzh" TargetMode="External"/><Relationship Id="rId1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8/Android/ADR_ON_MorePhoto_17-18.mp4?csf=1&amp;web=1&amp;e=oxtJbJ" TargetMode="External"/><Relationship Id="rId18"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2/iOS/iOS_ON_MORE_PHOTO_02-2.MP4?csf=1&amp;web=1&amp;e=CbPSHT" TargetMode="External"/><Relationship Id="rId26"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8/iOS/iOS_ON_MORE_PHOTO_03++.MP4?csf=1&amp;web=1&amp;e=RbRffq" TargetMode="External"/><Relationship Id="rId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2/Android/ADR_ON_MorePhoto_02.mp4?csf=1&amp;web=1&amp;e=MlQLpC" TargetMode="External"/><Relationship Id="rId2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5/iOS/iOS_ON_MORE_PHOTO_05.MP4?csf=1&amp;web=1&amp;e=7EdITN" TargetMode="External"/><Relationship Id="rId7"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5/Android/ON_MORE_PHOTO_15.mp4?csf=1&amp;web=1&amp;e=PMI1zz" TargetMode="External"/><Relationship Id="rId1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7/Android/ADR_ON_MorePhoto_17-18.mp4?csf=1&amp;web=1&amp;e=ENKgX6" TargetMode="External"/><Relationship Id="rId17"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1/iOS/iOS_ON_MORE_PHOTO_01.MP4?csf=1&amp;web=1&amp;e=wmOyBy" TargetMode="External"/><Relationship Id="rId25"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7/iOS/iOS_ON_MORE_PHOTO_03++.MP4?csf=1&amp;web=1&amp;e=81t9hu" TargetMode="External"/><Relationship Id="rId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1/Android/ADR_ON_MorePhoto_01_3P.mp4?csf=1&amp;web=1&amp;e=wBqRd2" TargetMode="External"/><Relationship Id="rId16"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9/iOS/iOS_ON_MORE_PHOTO_19.MP4?csf=1&amp;web=1&amp;e=q2Uj2z" TargetMode="External"/><Relationship Id="rId20"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4/iOS/iOS_ON_MORE_PHOTO_04.MP4?csf=1&amp;web=1&amp;e=W6RBKB" TargetMode="External"/><Relationship Id="rId1" Type="http://schemas.openxmlformats.org/officeDocument/2006/relationships/hyperlink" Target="../../../../../../../../../../../../../:f:/s/TrueCorp-TrueDtacTH-TotalAccessCommunicationPlc-TechM-Workingarea/IgBkvHHTGz3zQpHJqSXKRcvZAXvIFqXXuWpg44OSy9mqjxM?e=VsZRZQ" TargetMode="External"/><Relationship Id="rId6"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9/Android/ON_MORE_PHOTO_09.mp4?csf=1&amp;web=1&amp;e=f9XyRJ" TargetMode="External"/><Relationship Id="rId1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1/Android/ADR_ON_MorePhoto_10-11.mp4?csf=1&amp;web=1&amp;e=55YTFo" TargetMode="External"/><Relationship Id="rId2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1/iOS/iOS_ON_MORE_PHOTO_03++.MP4?csf=1&amp;web=1&amp;e=U6Tg0D" TargetMode="External"/><Relationship Id="rId5"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8/Android/ADR_ON_MorePhoto_08.mp4?csf=1&amp;web=1&amp;e=pyshGi" TargetMode="External"/><Relationship Id="rId15"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20/iOS/iOS_ON_MORE_PHOTO_20.MP4?csf=1&amp;web=1&amp;e=06wqvK" TargetMode="External"/><Relationship Id="rId2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0/iOS/iOS_ON_MORE_PHOTO_03++.MP4?csf=1&amp;web=1&amp;e=IdTaTz" TargetMode="External"/><Relationship Id="rId10"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0/Android/ADR_ON_MorePhoto_10-11.mp4?csf=1&amp;web=1&amp;e=s8WtcS" TargetMode="External"/><Relationship Id="rId19"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3/iOS/iOS_ON_MORE_PHOTO_03++.MP4?csf=1&amp;web=1&amp;e=pF0Zxr" TargetMode="External"/><Relationship Id="rId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4/Android/ADR_ON_MorePhoto_04.mp4?csf=1&amp;web=1&amp;e=9jbjdO" TargetMode="External"/><Relationship Id="rId9"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7/Android/ADR_ON_MorePhoto_07.mp4?csf=1&amp;web=1&amp;e=MD0vNN" TargetMode="External"/><Relationship Id="rId1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19/Android/ADR_ON_MorePhoto_19.mp4?csf=1&amp;web=1&amp;e=531jYV" TargetMode="External"/><Relationship Id="rId2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10.%20More%20Photo/ON_MORE_PHOTO_06/iOS/iOS_ON_MORE_PHOTO_06.MP4?csf=1&amp;web=1&amp;e=lWuHQS" TargetMode="External"/><Relationship Id="rId27" Type="http://schemas.openxmlformats.org/officeDocument/2006/relationships/hyperlink" Target="https://truecorp.sharepoint.com/:f:/s/TrueCorp-TrueDtacTH-TotalAccessCommunicationPlc-TechM-Workingarea/IgB6jt1l8j1nTq8hyohgsnVdATPWP3mHuFD-UYnYoLhP_o4?e=MlSP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27265-3435-46F5-B71D-528CE0E81839}">
  <dimension ref="A1"/>
  <sheetViews>
    <sheetView workbookViewId="0"/>
  </sheetViews>
  <sheetFormatPr defaultRowHeight="14.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outlinePr summaryBelow="0" summaryRight="0"/>
  </sheetPr>
  <dimension ref="A1:BL986"/>
  <sheetViews>
    <sheetView tabSelected="1" topLeftCell="AQ1" zoomScale="70" zoomScaleNormal="70" workbookViewId="0">
      <pane ySplit="3" topLeftCell="A4" activePane="bottomLeft" state="frozen"/>
      <selection pane="bottomLeft" activeCell="G27" sqref="G27"/>
    </sheetView>
  </sheetViews>
  <sheetFormatPr defaultColWidth="14.42578125" defaultRowHeight="15" customHeight="1"/>
  <cols>
    <col min="1" max="2" width="11.85546875" style="38" customWidth="1"/>
    <col min="3" max="3" width="13.140625" style="38" customWidth="1"/>
    <col min="4" max="4" width="11.140625" style="38" customWidth="1"/>
    <col min="5" max="5" width="26.28515625" style="38" customWidth="1"/>
    <col min="6" max="6" width="13.140625" style="38" customWidth="1"/>
    <col min="7" max="7" width="26.85546875" style="38" customWidth="1"/>
    <col min="8" max="8" width="20.42578125" style="38" customWidth="1"/>
    <col min="9" max="9" width="41.5703125" style="38" customWidth="1"/>
    <col min="10" max="10" width="11.42578125" style="38" customWidth="1"/>
    <col min="11" max="14" width="6.7109375" style="38" hidden="1" customWidth="1"/>
    <col min="15" max="15" width="10" style="38" hidden="1" customWidth="1"/>
    <col min="16" max="16" width="8.28515625" style="38" hidden="1" customWidth="1"/>
    <col min="17" max="17" width="7.42578125" style="38" hidden="1" customWidth="1"/>
    <col min="18" max="18" width="10.42578125" style="38" hidden="1" customWidth="1"/>
    <col min="19" max="19" width="7.7109375" style="38" hidden="1" customWidth="1"/>
    <col min="20" max="20" width="7.140625" style="38" hidden="1" customWidth="1"/>
    <col min="21" max="21" width="12" style="38" hidden="1" customWidth="1"/>
    <col min="22" max="22" width="10.28515625" style="38" hidden="1" customWidth="1"/>
    <col min="23" max="23" width="11.7109375" style="38" hidden="1" customWidth="1"/>
    <col min="24" max="24" width="16.42578125" style="38" hidden="1" customWidth="1"/>
    <col min="25" max="25" width="9.85546875" style="38" hidden="1" customWidth="1"/>
    <col min="26" max="26" width="7.140625" style="38" customWidth="1"/>
    <col min="27" max="27" width="5.7109375" style="38" customWidth="1"/>
    <col min="28" max="29" width="6.28515625" style="38" customWidth="1"/>
    <col min="30" max="30" width="9" style="38" customWidth="1"/>
    <col min="31" max="32" width="7.28515625" style="38" customWidth="1"/>
    <col min="33" max="35" width="5.85546875" style="38" customWidth="1"/>
    <col min="36" max="36" width="6.7109375" style="38" customWidth="1"/>
    <col min="37" max="39" width="9.28515625" style="38" customWidth="1"/>
    <col min="40" max="41" width="10.7109375" style="38" customWidth="1"/>
    <col min="42" max="42" width="54.7109375" style="38" hidden="1" customWidth="1"/>
    <col min="43" max="43" width="67.7109375" style="38" customWidth="1"/>
    <col min="44" max="45" width="20" style="38" customWidth="1"/>
    <col min="46" max="46" width="14.7109375" style="38" customWidth="1"/>
    <col min="47" max="47" width="16.7109375" style="38" customWidth="1"/>
    <col min="48" max="48" width="33" style="38" customWidth="1"/>
    <col min="49" max="49" width="45.5703125" style="38" customWidth="1"/>
    <col min="50" max="50" width="11.28515625" style="38" customWidth="1"/>
    <col min="51" max="52" width="28.140625" style="38" customWidth="1"/>
    <col min="53" max="64" width="12.7109375" style="38" customWidth="1"/>
    <col min="65" max="16384" width="14.42578125" style="38"/>
  </cols>
  <sheetData>
    <row r="1" spans="1:64" ht="36" customHeight="1">
      <c r="A1" s="110" t="s">
        <v>0</v>
      </c>
      <c r="B1" s="110" t="s">
        <v>1</v>
      </c>
      <c r="C1" s="110" t="s">
        <v>2</v>
      </c>
      <c r="D1" s="94" t="s">
        <v>3</v>
      </c>
      <c r="E1" s="95"/>
      <c r="F1" s="94" t="s">
        <v>4</v>
      </c>
      <c r="G1" s="95"/>
      <c r="H1" s="110" t="s">
        <v>5</v>
      </c>
      <c r="I1" s="110" t="s">
        <v>6</v>
      </c>
      <c r="J1" s="110" t="s">
        <v>7</v>
      </c>
      <c r="K1" s="113" t="s">
        <v>8</v>
      </c>
      <c r="L1" s="114"/>
      <c r="M1" s="114"/>
      <c r="N1" s="114"/>
      <c r="O1" s="86" t="s">
        <v>9</v>
      </c>
      <c r="P1" s="87"/>
      <c r="Q1" s="87"/>
      <c r="R1" s="87"/>
      <c r="S1" s="87"/>
      <c r="T1" s="88"/>
      <c r="U1" s="100" t="s">
        <v>10</v>
      </c>
      <c r="V1" s="101"/>
      <c r="W1" s="101"/>
      <c r="X1" s="102"/>
      <c r="Y1" s="89" t="s">
        <v>11</v>
      </c>
      <c r="Z1" s="117" t="s">
        <v>12</v>
      </c>
      <c r="AA1" s="89"/>
      <c r="AB1" s="120" t="s">
        <v>13</v>
      </c>
      <c r="AC1" s="121"/>
      <c r="AD1" s="124" t="s">
        <v>14</v>
      </c>
      <c r="AE1" s="125"/>
      <c r="AF1" s="125"/>
      <c r="AG1" s="126"/>
      <c r="AH1" s="124" t="s">
        <v>15</v>
      </c>
      <c r="AI1" s="125"/>
      <c r="AJ1" s="125"/>
      <c r="AK1" s="125"/>
      <c r="AL1" s="106" t="s">
        <v>16</v>
      </c>
      <c r="AM1" s="107"/>
      <c r="AN1" s="79" t="s">
        <v>17</v>
      </c>
      <c r="AO1" s="80"/>
      <c r="AP1" s="110" t="s">
        <v>18</v>
      </c>
      <c r="AQ1" s="110" t="s">
        <v>19</v>
      </c>
      <c r="AR1" s="110" t="s">
        <v>20</v>
      </c>
      <c r="AS1" s="110" t="s">
        <v>21</v>
      </c>
      <c r="AT1" s="83" t="s">
        <v>22</v>
      </c>
      <c r="AU1" s="83" t="s">
        <v>23</v>
      </c>
      <c r="AV1" s="83" t="s">
        <v>24</v>
      </c>
      <c r="AW1" s="110" t="s">
        <v>25</v>
      </c>
      <c r="AX1" s="110" t="s">
        <v>26</v>
      </c>
      <c r="AY1" s="1"/>
      <c r="AZ1" s="1"/>
      <c r="BA1" s="1"/>
      <c r="BB1" s="1"/>
      <c r="BC1" s="1"/>
      <c r="BD1" s="1"/>
      <c r="BE1" s="1"/>
      <c r="BF1" s="1"/>
      <c r="BG1" s="1"/>
      <c r="BH1" s="1"/>
      <c r="BI1" s="1"/>
      <c r="BJ1" s="1"/>
      <c r="BK1" s="1"/>
      <c r="BL1" s="1"/>
    </row>
    <row r="2" spans="1:64" ht="24.75" customHeight="1">
      <c r="A2" s="111"/>
      <c r="B2" s="111"/>
      <c r="C2" s="111"/>
      <c r="D2" s="96"/>
      <c r="E2" s="97"/>
      <c r="F2" s="96"/>
      <c r="G2" s="97"/>
      <c r="H2" s="111"/>
      <c r="I2" s="111"/>
      <c r="J2" s="112"/>
      <c r="K2" s="115" t="s">
        <v>27</v>
      </c>
      <c r="L2" s="115" t="s">
        <v>28</v>
      </c>
      <c r="M2" s="115" t="s">
        <v>29</v>
      </c>
      <c r="N2" s="115" t="s">
        <v>30</v>
      </c>
      <c r="O2" s="88" t="s">
        <v>31</v>
      </c>
      <c r="P2" s="92" t="s">
        <v>32</v>
      </c>
      <c r="Q2" s="98" t="s">
        <v>33</v>
      </c>
      <c r="R2" s="98"/>
      <c r="S2" s="98"/>
      <c r="T2" s="99"/>
      <c r="U2" s="103"/>
      <c r="V2" s="104"/>
      <c r="W2" s="104"/>
      <c r="X2" s="105"/>
      <c r="Y2" s="90"/>
      <c r="Z2" s="118"/>
      <c r="AA2" s="119"/>
      <c r="AB2" s="122"/>
      <c r="AC2" s="123"/>
      <c r="AD2" s="127"/>
      <c r="AE2" s="128"/>
      <c r="AF2" s="128"/>
      <c r="AG2" s="129"/>
      <c r="AH2" s="127"/>
      <c r="AI2" s="128"/>
      <c r="AJ2" s="128"/>
      <c r="AK2" s="128"/>
      <c r="AL2" s="108"/>
      <c r="AM2" s="109"/>
      <c r="AN2" s="81"/>
      <c r="AO2" s="82"/>
      <c r="AP2" s="111"/>
      <c r="AQ2" s="111"/>
      <c r="AR2" s="111"/>
      <c r="AS2" s="111"/>
      <c r="AT2" s="84"/>
      <c r="AU2" s="84"/>
      <c r="AV2" s="84"/>
      <c r="AW2" s="111"/>
      <c r="AX2" s="111"/>
      <c r="AY2" s="1"/>
      <c r="AZ2" s="1"/>
      <c r="BA2" s="1"/>
      <c r="BB2" s="1"/>
      <c r="BC2" s="1"/>
      <c r="BD2" s="1"/>
      <c r="BE2" s="1"/>
      <c r="BF2" s="1"/>
      <c r="BG2" s="1"/>
      <c r="BH2" s="1"/>
      <c r="BI2" s="1"/>
      <c r="BJ2" s="1"/>
      <c r="BK2" s="1"/>
      <c r="BL2" s="1"/>
    </row>
    <row r="3" spans="1:64" ht="44.25" customHeight="1">
      <c r="A3" s="135"/>
      <c r="B3" s="116"/>
      <c r="C3" s="135"/>
      <c r="D3" s="61" t="s">
        <v>34</v>
      </c>
      <c r="E3" s="61" t="s">
        <v>35</v>
      </c>
      <c r="F3" s="61" t="s">
        <v>34</v>
      </c>
      <c r="G3" s="61" t="s">
        <v>35</v>
      </c>
      <c r="H3" s="135"/>
      <c r="I3" s="135"/>
      <c r="J3" s="136"/>
      <c r="K3" s="115"/>
      <c r="L3" s="115"/>
      <c r="M3" s="115"/>
      <c r="N3" s="115"/>
      <c r="O3" s="91"/>
      <c r="P3" s="93"/>
      <c r="Q3" s="45" t="s">
        <v>36</v>
      </c>
      <c r="R3" s="45" t="s">
        <v>37</v>
      </c>
      <c r="S3" s="45" t="s">
        <v>38</v>
      </c>
      <c r="T3" s="45" t="s">
        <v>39</v>
      </c>
      <c r="U3" s="46" t="s">
        <v>40</v>
      </c>
      <c r="V3" s="54" t="s">
        <v>41</v>
      </c>
      <c r="W3" s="54" t="s">
        <v>42</v>
      </c>
      <c r="X3" s="2" t="s">
        <v>43</v>
      </c>
      <c r="Y3" s="137"/>
      <c r="Z3" s="3" t="s">
        <v>44</v>
      </c>
      <c r="AA3" s="3" t="s">
        <v>45</v>
      </c>
      <c r="AB3" s="4" t="s">
        <v>46</v>
      </c>
      <c r="AC3" s="4" t="s">
        <v>47</v>
      </c>
      <c r="AD3" s="5" t="s">
        <v>48</v>
      </c>
      <c r="AE3" s="5" t="s">
        <v>49</v>
      </c>
      <c r="AF3" s="5" t="s">
        <v>50</v>
      </c>
      <c r="AG3" s="5" t="s">
        <v>51</v>
      </c>
      <c r="AH3" s="5" t="s">
        <v>52</v>
      </c>
      <c r="AI3" s="5" t="s">
        <v>53</v>
      </c>
      <c r="AJ3" s="5" t="s">
        <v>54</v>
      </c>
      <c r="AK3" s="5" t="s">
        <v>55</v>
      </c>
      <c r="AL3" s="6" t="s">
        <v>56</v>
      </c>
      <c r="AM3" s="6" t="s">
        <v>57</v>
      </c>
      <c r="AN3" s="7" t="s">
        <v>56</v>
      </c>
      <c r="AO3" s="7" t="s">
        <v>57</v>
      </c>
      <c r="AP3" s="135"/>
      <c r="AQ3" s="135"/>
      <c r="AR3" s="135"/>
      <c r="AS3" s="135"/>
      <c r="AT3" s="135"/>
      <c r="AU3" s="135"/>
      <c r="AV3" s="85"/>
      <c r="AW3" s="135"/>
      <c r="AX3" s="135"/>
      <c r="AY3" s="8"/>
      <c r="AZ3" s="8"/>
      <c r="BA3" s="8"/>
      <c r="BB3" s="8"/>
      <c r="BC3" s="8"/>
      <c r="BD3" s="8"/>
      <c r="BE3" s="8"/>
      <c r="BF3" s="8"/>
      <c r="BG3" s="8"/>
      <c r="BH3" s="8"/>
      <c r="BI3" s="8"/>
      <c r="BJ3" s="8"/>
      <c r="BK3" s="8"/>
      <c r="BL3" s="8"/>
    </row>
    <row r="4" spans="1:64" ht="93" customHeight="1">
      <c r="A4" s="9" t="s">
        <v>58</v>
      </c>
      <c r="B4" s="9" t="s">
        <v>59</v>
      </c>
      <c r="C4" s="9" t="s">
        <v>60</v>
      </c>
      <c r="D4" s="78" t="s">
        <v>61</v>
      </c>
      <c r="E4" s="62" t="s">
        <v>62</v>
      </c>
      <c r="F4" s="68" t="s">
        <v>63</v>
      </c>
      <c r="G4" s="65" t="s">
        <v>64</v>
      </c>
      <c r="H4" s="10" t="s">
        <v>65</v>
      </c>
      <c r="I4" s="11" t="s">
        <v>66</v>
      </c>
      <c r="J4" s="9" t="s">
        <v>67</v>
      </c>
      <c r="K4" s="69"/>
      <c r="L4" s="69"/>
      <c r="M4" s="69"/>
      <c r="N4" s="69"/>
      <c r="O4" s="35"/>
      <c r="P4" s="35"/>
      <c r="Q4" s="35"/>
      <c r="R4" s="35"/>
      <c r="S4" s="35"/>
      <c r="T4" s="35"/>
      <c r="U4" s="51"/>
      <c r="V4" s="51"/>
      <c r="W4" s="52"/>
      <c r="X4" s="53"/>
      <c r="Y4" s="35"/>
      <c r="Z4" s="35"/>
      <c r="AA4" s="35"/>
      <c r="AB4" s="37"/>
      <c r="AC4" s="37"/>
      <c r="AD4" s="37"/>
      <c r="AE4" s="37"/>
      <c r="AF4" s="37"/>
      <c r="AG4" s="37"/>
      <c r="AH4" s="37"/>
      <c r="AI4" s="37"/>
      <c r="AJ4" s="37"/>
      <c r="AK4" s="37"/>
      <c r="AL4" s="37"/>
      <c r="AM4" s="37"/>
      <c r="AN4" s="37"/>
      <c r="AO4" s="37"/>
      <c r="AP4" s="32" t="s">
        <v>68</v>
      </c>
      <c r="AQ4" s="11" t="s">
        <v>69</v>
      </c>
      <c r="AR4" s="12" t="s">
        <v>70</v>
      </c>
      <c r="AS4" s="12" t="s">
        <v>71</v>
      </c>
      <c r="AT4" s="59" t="s">
        <v>72</v>
      </c>
      <c r="AU4" s="59" t="s">
        <v>72</v>
      </c>
      <c r="AV4" s="13"/>
      <c r="AW4" s="14" t="s">
        <v>73</v>
      </c>
      <c r="AX4" s="15"/>
      <c r="AY4" s="16"/>
      <c r="AZ4" s="16"/>
      <c r="BA4" s="16"/>
      <c r="BB4" s="16"/>
      <c r="BC4" s="16"/>
      <c r="BD4" s="16"/>
      <c r="BE4" s="16"/>
      <c r="BF4" s="16"/>
      <c r="BG4" s="16"/>
      <c r="BH4" s="16"/>
      <c r="BI4" s="16"/>
      <c r="BJ4" s="16"/>
      <c r="BK4" s="16"/>
      <c r="BL4" s="16"/>
    </row>
    <row r="5" spans="1:64" ht="89.25" customHeight="1">
      <c r="A5" s="9" t="s">
        <v>74</v>
      </c>
      <c r="B5" s="9" t="s">
        <v>59</v>
      </c>
      <c r="C5" s="9" t="s">
        <v>60</v>
      </c>
      <c r="D5" s="78" t="s">
        <v>61</v>
      </c>
      <c r="E5" s="62" t="s">
        <v>62</v>
      </c>
      <c r="F5" s="70" t="s">
        <v>63</v>
      </c>
      <c r="G5" s="67" t="s">
        <v>64</v>
      </c>
      <c r="H5" s="10" t="s">
        <v>75</v>
      </c>
      <c r="I5" s="11" t="s">
        <v>76</v>
      </c>
      <c r="J5" s="9" t="s">
        <v>67</v>
      </c>
      <c r="K5" s="69"/>
      <c r="L5" s="69"/>
      <c r="M5" s="69"/>
      <c r="N5" s="69"/>
      <c r="O5" s="35"/>
      <c r="P5" s="35"/>
      <c r="Q5" s="35"/>
      <c r="R5" s="35"/>
      <c r="S5" s="35"/>
      <c r="T5" s="35"/>
      <c r="U5" s="51"/>
      <c r="V5" s="51"/>
      <c r="W5" s="52"/>
      <c r="X5" s="53"/>
      <c r="Y5" s="35"/>
      <c r="Z5" s="35"/>
      <c r="AA5" s="35"/>
      <c r="AB5" s="37"/>
      <c r="AC5" s="37"/>
      <c r="AD5" s="37"/>
      <c r="AE5" s="37"/>
      <c r="AF5" s="37"/>
      <c r="AG5" s="37"/>
      <c r="AH5" s="37"/>
      <c r="AI5" s="37"/>
      <c r="AJ5" s="37"/>
      <c r="AK5" s="37"/>
      <c r="AL5" s="37"/>
      <c r="AM5" s="37"/>
      <c r="AN5" s="37"/>
      <c r="AO5" s="37"/>
      <c r="AP5" s="32" t="s">
        <v>77</v>
      </c>
      <c r="AQ5" s="64" t="s">
        <v>78</v>
      </c>
      <c r="AR5" s="12" t="s">
        <v>70</v>
      </c>
      <c r="AS5" s="12"/>
      <c r="AT5" s="59" t="s">
        <v>72</v>
      </c>
      <c r="AU5" s="59" t="s">
        <v>72</v>
      </c>
      <c r="AV5" s="13"/>
      <c r="AW5" s="17"/>
      <c r="AX5" s="15"/>
      <c r="AY5" s="16"/>
      <c r="AZ5" s="16"/>
      <c r="BA5" s="16"/>
      <c r="BB5" s="16"/>
      <c r="BC5" s="16"/>
      <c r="BD5" s="16"/>
      <c r="BE5" s="16"/>
      <c r="BF5" s="16"/>
      <c r="BG5" s="16"/>
      <c r="BH5" s="16"/>
      <c r="BI5" s="16"/>
      <c r="BJ5" s="16"/>
      <c r="BK5" s="16"/>
      <c r="BL5" s="16"/>
    </row>
    <row r="6" spans="1:64" ht="96" customHeight="1">
      <c r="A6" s="9" t="s">
        <v>79</v>
      </c>
      <c r="B6" s="9" t="s">
        <v>59</v>
      </c>
      <c r="C6" s="9" t="s">
        <v>60</v>
      </c>
      <c r="D6" s="78" t="s">
        <v>61</v>
      </c>
      <c r="E6" s="62" t="s">
        <v>62</v>
      </c>
      <c r="F6" s="70" t="s">
        <v>63</v>
      </c>
      <c r="G6" s="74" t="s">
        <v>80</v>
      </c>
      <c r="H6" s="75" t="s">
        <v>81</v>
      </c>
      <c r="I6" s="76" t="s">
        <v>82</v>
      </c>
      <c r="J6" s="9" t="s">
        <v>67</v>
      </c>
      <c r="K6" s="35" t="s">
        <v>83</v>
      </c>
      <c r="L6" s="35" t="s">
        <v>83</v>
      </c>
      <c r="M6" s="35"/>
      <c r="N6" s="35"/>
      <c r="O6" s="35" t="s">
        <v>83</v>
      </c>
      <c r="P6" s="35"/>
      <c r="Q6" s="35"/>
      <c r="R6" s="35"/>
      <c r="S6" s="35"/>
      <c r="T6" s="35"/>
      <c r="U6" s="35" t="s">
        <v>83</v>
      </c>
      <c r="V6" s="51"/>
      <c r="W6" s="52"/>
      <c r="X6" s="36"/>
      <c r="Y6" s="35"/>
      <c r="Z6" s="35"/>
      <c r="AA6" s="35" t="s">
        <v>83</v>
      </c>
      <c r="AB6" s="37"/>
      <c r="AC6" s="37"/>
      <c r="AD6" s="37"/>
      <c r="AE6" s="37"/>
      <c r="AF6" s="37"/>
      <c r="AG6" s="37"/>
      <c r="AH6" s="37"/>
      <c r="AI6" s="37"/>
      <c r="AJ6" s="37"/>
      <c r="AK6" s="37"/>
      <c r="AL6" s="37"/>
      <c r="AM6" s="37"/>
      <c r="AN6" s="37"/>
      <c r="AO6" s="37"/>
      <c r="AP6" s="32" t="s">
        <v>84</v>
      </c>
      <c r="AQ6" s="11" t="s">
        <v>85</v>
      </c>
      <c r="AR6" s="12" t="s">
        <v>70</v>
      </c>
      <c r="AS6" s="12"/>
      <c r="AT6" s="59" t="s">
        <v>72</v>
      </c>
      <c r="AU6" s="59" t="s">
        <v>72</v>
      </c>
      <c r="AV6" s="13"/>
      <c r="AW6" s="17"/>
      <c r="AX6" s="15"/>
      <c r="AY6" s="72" t="s">
        <v>86</v>
      </c>
      <c r="AZ6" s="72" t="s">
        <v>87</v>
      </c>
      <c r="BA6" s="16"/>
      <c r="BB6" s="16"/>
      <c r="BC6" s="16"/>
      <c r="BD6" s="16"/>
      <c r="BE6" s="16"/>
      <c r="BF6" s="16"/>
      <c r="BG6" s="16"/>
      <c r="BH6" s="16"/>
      <c r="BI6" s="16"/>
      <c r="BJ6" s="16"/>
      <c r="BK6" s="16"/>
      <c r="BL6" s="16"/>
    </row>
    <row r="7" spans="1:64" ht="89.25" customHeight="1">
      <c r="A7" s="9" t="s">
        <v>88</v>
      </c>
      <c r="B7" s="9" t="s">
        <v>59</v>
      </c>
      <c r="C7" s="9" t="s">
        <v>60</v>
      </c>
      <c r="D7" s="78" t="s">
        <v>61</v>
      </c>
      <c r="E7" s="62" t="s">
        <v>62</v>
      </c>
      <c r="F7" s="70" t="s">
        <v>63</v>
      </c>
      <c r="G7" s="67" t="s">
        <v>64</v>
      </c>
      <c r="H7" s="10" t="s">
        <v>89</v>
      </c>
      <c r="I7" s="64" t="s">
        <v>90</v>
      </c>
      <c r="J7" s="9" t="s">
        <v>67</v>
      </c>
      <c r="K7" s="35" t="s">
        <v>83</v>
      </c>
      <c r="L7" s="35" t="s">
        <v>83</v>
      </c>
      <c r="M7" s="35" t="s">
        <v>83</v>
      </c>
      <c r="N7" s="35" t="s">
        <v>83</v>
      </c>
      <c r="O7" s="35"/>
      <c r="P7" s="35" t="s">
        <v>83</v>
      </c>
      <c r="Q7" s="35"/>
      <c r="R7" s="35"/>
      <c r="S7" s="35"/>
      <c r="T7" s="35"/>
      <c r="U7" s="35" t="s">
        <v>83</v>
      </c>
      <c r="V7" s="51"/>
      <c r="W7" s="52"/>
      <c r="X7" s="36"/>
      <c r="Y7" s="35"/>
      <c r="Z7" s="35"/>
      <c r="AA7" s="35" t="s">
        <v>83</v>
      </c>
      <c r="AB7" s="37"/>
      <c r="AC7" s="37"/>
      <c r="AD7" s="37"/>
      <c r="AE7" s="37"/>
      <c r="AF7" s="37"/>
      <c r="AG7" s="37"/>
      <c r="AH7" s="37"/>
      <c r="AI7" s="37"/>
      <c r="AJ7" s="37"/>
      <c r="AK7" s="37"/>
      <c r="AL7" s="37"/>
      <c r="AM7" s="37"/>
      <c r="AN7" s="37"/>
      <c r="AO7" s="37"/>
      <c r="AP7" s="32" t="s">
        <v>84</v>
      </c>
      <c r="AQ7" s="11" t="s">
        <v>91</v>
      </c>
      <c r="AR7" s="12" t="s">
        <v>70</v>
      </c>
      <c r="AS7" s="12"/>
      <c r="AT7" s="59" t="s">
        <v>72</v>
      </c>
      <c r="AU7" s="59" t="s">
        <v>72</v>
      </c>
      <c r="AV7" s="13"/>
      <c r="AW7" s="17"/>
      <c r="AX7" s="15"/>
      <c r="AY7" s="72" t="s">
        <v>92</v>
      </c>
      <c r="AZ7" s="72" t="s">
        <v>93</v>
      </c>
      <c r="BA7" s="16"/>
      <c r="BB7" s="16"/>
      <c r="BC7" s="16"/>
      <c r="BD7" s="16"/>
      <c r="BE7" s="16"/>
      <c r="BF7" s="16"/>
      <c r="BG7" s="16"/>
      <c r="BH7" s="16"/>
      <c r="BI7" s="16"/>
      <c r="BJ7" s="16"/>
      <c r="BK7" s="16"/>
      <c r="BL7" s="16"/>
    </row>
    <row r="8" spans="1:64" ht="96" customHeight="1">
      <c r="A8" s="9" t="s">
        <v>94</v>
      </c>
      <c r="B8" s="9" t="s">
        <v>59</v>
      </c>
      <c r="C8" s="9" t="s">
        <v>60</v>
      </c>
      <c r="D8" s="78" t="s">
        <v>61</v>
      </c>
      <c r="E8" s="62" t="s">
        <v>62</v>
      </c>
      <c r="F8" s="131" t="s">
        <v>63</v>
      </c>
      <c r="G8" s="132" t="s">
        <v>95</v>
      </c>
      <c r="H8" s="133" t="s">
        <v>96</v>
      </c>
      <c r="I8" s="134" t="s">
        <v>97</v>
      </c>
      <c r="J8" s="9" t="s">
        <v>67</v>
      </c>
      <c r="K8" s="35" t="s">
        <v>83</v>
      </c>
      <c r="L8" s="35" t="s">
        <v>83</v>
      </c>
      <c r="M8" s="35"/>
      <c r="N8" s="35" t="s">
        <v>83</v>
      </c>
      <c r="O8" s="35"/>
      <c r="P8" s="35" t="s">
        <v>83</v>
      </c>
      <c r="Q8" s="35"/>
      <c r="R8" s="35"/>
      <c r="S8" s="35"/>
      <c r="T8" s="35"/>
      <c r="U8" s="35"/>
      <c r="V8" s="51"/>
      <c r="W8" s="52"/>
      <c r="X8" s="35" t="s">
        <v>83</v>
      </c>
      <c r="Y8" s="35"/>
      <c r="Z8" s="35"/>
      <c r="AA8" s="35" t="s">
        <v>83</v>
      </c>
      <c r="AB8" s="37"/>
      <c r="AC8" s="37"/>
      <c r="AD8" s="37"/>
      <c r="AE8" s="37"/>
      <c r="AF8" s="37"/>
      <c r="AG8" s="37"/>
      <c r="AH8" s="37"/>
      <c r="AI8" s="37"/>
      <c r="AJ8" s="37"/>
      <c r="AK8" s="37"/>
      <c r="AL8" s="37"/>
      <c r="AM8" s="37"/>
      <c r="AN8" s="37"/>
      <c r="AO8" s="37"/>
      <c r="AP8" s="32" t="s">
        <v>98</v>
      </c>
      <c r="AQ8" s="11" t="s">
        <v>99</v>
      </c>
      <c r="AR8" s="12" t="s">
        <v>70</v>
      </c>
      <c r="AS8" s="12"/>
      <c r="AT8" s="59" t="s">
        <v>72</v>
      </c>
      <c r="AU8" s="59" t="s">
        <v>72</v>
      </c>
      <c r="AV8" s="13"/>
      <c r="AW8" s="17"/>
      <c r="AX8" s="15"/>
      <c r="AY8" s="16"/>
      <c r="AZ8" s="16"/>
      <c r="BA8" s="16"/>
      <c r="BB8" s="16"/>
      <c r="BC8" s="16"/>
      <c r="BD8" s="16"/>
      <c r="BE8" s="16"/>
      <c r="BF8" s="16"/>
      <c r="BG8" s="16"/>
      <c r="BH8" s="16"/>
      <c r="BI8" s="16"/>
      <c r="BJ8" s="16"/>
      <c r="BK8" s="16"/>
      <c r="BL8" s="16"/>
    </row>
    <row r="9" spans="1:64" ht="87.75" customHeight="1">
      <c r="A9" s="9" t="s">
        <v>100</v>
      </c>
      <c r="B9" s="9" t="s">
        <v>59</v>
      </c>
      <c r="C9" s="9" t="s">
        <v>60</v>
      </c>
      <c r="D9" s="78" t="s">
        <v>61</v>
      </c>
      <c r="E9" s="62" t="s">
        <v>62</v>
      </c>
      <c r="F9" s="66" t="s">
        <v>63</v>
      </c>
      <c r="G9" s="67" t="s">
        <v>80</v>
      </c>
      <c r="H9" s="10" t="s">
        <v>101</v>
      </c>
      <c r="I9" s="11" t="s">
        <v>102</v>
      </c>
      <c r="J9" s="9" t="s">
        <v>67</v>
      </c>
      <c r="K9" s="35" t="s">
        <v>83</v>
      </c>
      <c r="L9" s="35" t="s">
        <v>83</v>
      </c>
      <c r="M9" s="35" t="s">
        <v>83</v>
      </c>
      <c r="N9" s="35"/>
      <c r="O9" s="35" t="s">
        <v>83</v>
      </c>
      <c r="P9" s="35"/>
      <c r="Q9" s="35"/>
      <c r="R9" s="35"/>
      <c r="S9" s="35"/>
      <c r="T9" s="35"/>
      <c r="U9" s="35"/>
      <c r="V9" s="51"/>
      <c r="W9" s="52"/>
      <c r="X9" s="35" t="s">
        <v>83</v>
      </c>
      <c r="Y9" s="35"/>
      <c r="Z9" s="35"/>
      <c r="AA9" s="35" t="s">
        <v>83</v>
      </c>
      <c r="AB9" s="37"/>
      <c r="AC9" s="37"/>
      <c r="AD9" s="37"/>
      <c r="AE9" s="37"/>
      <c r="AF9" s="37"/>
      <c r="AG9" s="37"/>
      <c r="AH9" s="37"/>
      <c r="AI9" s="37"/>
      <c r="AJ9" s="37"/>
      <c r="AK9" s="37"/>
      <c r="AL9" s="37"/>
      <c r="AM9" s="37"/>
      <c r="AN9" s="37"/>
      <c r="AO9" s="37"/>
      <c r="AP9" s="32" t="s">
        <v>103</v>
      </c>
      <c r="AQ9" s="11" t="s">
        <v>99</v>
      </c>
      <c r="AR9" s="12" t="s">
        <v>70</v>
      </c>
      <c r="AS9" s="12"/>
      <c r="AT9" s="59" t="s">
        <v>72</v>
      </c>
      <c r="AU9" s="59" t="s">
        <v>72</v>
      </c>
      <c r="AV9" s="13"/>
      <c r="AW9" s="17"/>
      <c r="AX9" s="15"/>
      <c r="AY9" s="16"/>
      <c r="AZ9" s="16"/>
      <c r="BA9" s="16"/>
      <c r="BB9" s="16"/>
      <c r="BC9" s="16"/>
      <c r="BD9" s="16"/>
      <c r="BE9" s="16"/>
      <c r="BF9" s="16"/>
      <c r="BG9" s="16"/>
      <c r="BH9" s="16"/>
      <c r="BI9" s="16"/>
      <c r="BJ9" s="16"/>
      <c r="BK9" s="16"/>
      <c r="BL9" s="16"/>
    </row>
    <row r="10" spans="1:64" ht="134.25" customHeight="1">
      <c r="A10" s="9" t="s">
        <v>104</v>
      </c>
      <c r="B10" s="9" t="s">
        <v>59</v>
      </c>
      <c r="C10" s="9" t="s">
        <v>60</v>
      </c>
      <c r="D10" s="60"/>
      <c r="E10" s="62"/>
      <c r="F10" s="77" t="s">
        <v>63</v>
      </c>
      <c r="G10" s="67" t="s">
        <v>80</v>
      </c>
      <c r="H10" s="73" t="s">
        <v>105</v>
      </c>
      <c r="I10" s="50" t="s">
        <v>106</v>
      </c>
      <c r="J10" s="9" t="s">
        <v>67</v>
      </c>
      <c r="K10" s="35"/>
      <c r="L10" s="35"/>
      <c r="M10" s="35"/>
      <c r="N10" s="35"/>
      <c r="O10" s="35"/>
      <c r="P10" s="35"/>
      <c r="Q10" s="35"/>
      <c r="R10" s="35"/>
      <c r="S10" s="35"/>
      <c r="T10" s="35"/>
      <c r="U10" s="51"/>
      <c r="V10" s="51"/>
      <c r="W10" s="51"/>
      <c r="X10" s="51"/>
      <c r="Y10" s="35"/>
      <c r="Z10" s="35" t="s">
        <v>83</v>
      </c>
      <c r="AA10" s="35"/>
      <c r="AB10" s="35" t="s">
        <v>83</v>
      </c>
      <c r="AC10" s="35"/>
      <c r="AD10" s="35" t="s">
        <v>83</v>
      </c>
      <c r="AE10" s="35"/>
      <c r="AF10" s="35"/>
      <c r="AG10" s="37"/>
      <c r="AH10" s="37"/>
      <c r="AI10" s="37"/>
      <c r="AJ10" s="37"/>
      <c r="AK10" s="37"/>
      <c r="AL10" s="37"/>
      <c r="AM10" s="37"/>
      <c r="AN10" s="37"/>
      <c r="AO10" s="37"/>
      <c r="AP10" s="32" t="s">
        <v>107</v>
      </c>
      <c r="AQ10" s="17" t="s">
        <v>108</v>
      </c>
      <c r="AR10" s="12" t="s">
        <v>70</v>
      </c>
      <c r="AS10" s="12"/>
      <c r="AT10" s="130" t="s">
        <v>109</v>
      </c>
      <c r="AU10" s="59" t="s">
        <v>72</v>
      </c>
      <c r="AV10" s="13"/>
      <c r="AW10" s="17" t="s">
        <v>110</v>
      </c>
      <c r="AX10" s="15"/>
      <c r="AY10" s="16"/>
      <c r="AZ10" s="72" t="s">
        <v>111</v>
      </c>
      <c r="BA10" s="16"/>
      <c r="BB10" s="16"/>
      <c r="BC10" s="16"/>
      <c r="BD10" s="16"/>
      <c r="BE10" s="16"/>
      <c r="BF10" s="16"/>
      <c r="BG10" s="16"/>
      <c r="BH10" s="16"/>
      <c r="BI10" s="16"/>
      <c r="BJ10" s="16"/>
      <c r="BK10" s="16"/>
      <c r="BL10" s="16"/>
    </row>
    <row r="11" spans="1:64" ht="65.25" customHeight="1">
      <c r="A11" s="9" t="s">
        <v>112</v>
      </c>
      <c r="B11" s="9" t="s">
        <v>59</v>
      </c>
      <c r="C11" s="9" t="s">
        <v>60</v>
      </c>
      <c r="D11" s="60"/>
      <c r="E11" s="62"/>
      <c r="F11" s="70" t="s">
        <v>63</v>
      </c>
      <c r="G11" s="67" t="s">
        <v>80</v>
      </c>
      <c r="H11" s="10" t="s">
        <v>113</v>
      </c>
      <c r="I11" s="50" t="s">
        <v>114</v>
      </c>
      <c r="J11" s="9" t="s">
        <v>67</v>
      </c>
      <c r="K11" s="35"/>
      <c r="L11" s="35"/>
      <c r="M11" s="35"/>
      <c r="N11" s="35"/>
      <c r="O11" s="35"/>
      <c r="P11" s="35"/>
      <c r="Q11" s="35"/>
      <c r="R11" s="35"/>
      <c r="S11" s="35"/>
      <c r="T11" s="35"/>
      <c r="U11" s="51"/>
      <c r="V11" s="51"/>
      <c r="W11" s="51"/>
      <c r="X11" s="51"/>
      <c r="Y11" s="35"/>
      <c r="Z11" s="35" t="s">
        <v>83</v>
      </c>
      <c r="AA11" s="35"/>
      <c r="AB11" s="35" t="s">
        <v>83</v>
      </c>
      <c r="AC11" s="35"/>
      <c r="AD11" s="35"/>
      <c r="AE11" s="35" t="s">
        <v>83</v>
      </c>
      <c r="AF11" s="35"/>
      <c r="AG11" s="37"/>
      <c r="AH11" s="37"/>
      <c r="AI11" s="37"/>
      <c r="AJ11" s="37"/>
      <c r="AK11" s="37"/>
      <c r="AL11" s="37"/>
      <c r="AM11" s="37"/>
      <c r="AN11" s="37"/>
      <c r="AO11" s="37"/>
      <c r="AP11" s="32" t="s">
        <v>107</v>
      </c>
      <c r="AQ11" s="17" t="s">
        <v>115</v>
      </c>
      <c r="AR11" s="12" t="s">
        <v>70</v>
      </c>
      <c r="AS11" s="12"/>
      <c r="AT11" s="130" t="s">
        <v>109</v>
      </c>
      <c r="AU11" s="59" t="s">
        <v>72</v>
      </c>
      <c r="AV11" s="13"/>
      <c r="AW11" s="17" t="s">
        <v>110</v>
      </c>
      <c r="AX11" s="15"/>
      <c r="AY11" s="16"/>
      <c r="AZ11" s="16"/>
      <c r="BA11" s="16"/>
      <c r="BB11" s="16"/>
      <c r="BC11" s="16"/>
      <c r="BD11" s="16"/>
      <c r="BE11" s="16"/>
      <c r="BF11" s="16"/>
      <c r="BG11" s="16"/>
      <c r="BH11" s="16"/>
      <c r="BI11" s="16"/>
      <c r="BJ11" s="16"/>
      <c r="BK11" s="16"/>
      <c r="BL11" s="16"/>
    </row>
    <row r="12" spans="1:64" ht="185.25" customHeight="1">
      <c r="A12" s="9" t="s">
        <v>116</v>
      </c>
      <c r="B12" s="9" t="s">
        <v>59</v>
      </c>
      <c r="C12" s="47" t="s">
        <v>60</v>
      </c>
      <c r="D12" s="63" t="s">
        <v>61</v>
      </c>
      <c r="E12" s="62" t="s">
        <v>117</v>
      </c>
      <c r="F12" s="70" t="s">
        <v>63</v>
      </c>
      <c r="G12" s="67" t="s">
        <v>80</v>
      </c>
      <c r="H12" s="10" t="s">
        <v>118</v>
      </c>
      <c r="I12" s="50" t="s">
        <v>119</v>
      </c>
      <c r="J12" s="9" t="s">
        <v>67</v>
      </c>
      <c r="K12" s="35"/>
      <c r="L12" s="35"/>
      <c r="M12" s="35"/>
      <c r="N12" s="35"/>
      <c r="O12" s="35"/>
      <c r="P12" s="35"/>
      <c r="Q12" s="35"/>
      <c r="R12" s="35"/>
      <c r="S12" s="35"/>
      <c r="T12" s="35"/>
      <c r="U12" s="51"/>
      <c r="V12" s="51"/>
      <c r="W12" s="51"/>
      <c r="X12" s="51"/>
      <c r="Y12" s="35"/>
      <c r="Z12" s="35" t="s">
        <v>83</v>
      </c>
      <c r="AA12" s="35"/>
      <c r="AB12" s="35" t="s">
        <v>83</v>
      </c>
      <c r="AC12" s="35"/>
      <c r="AD12" s="35"/>
      <c r="AE12" s="35"/>
      <c r="AF12" s="35" t="s">
        <v>83</v>
      </c>
      <c r="AG12" s="37"/>
      <c r="AH12" s="37"/>
      <c r="AI12" s="37"/>
      <c r="AJ12" s="37"/>
      <c r="AK12" s="37"/>
      <c r="AL12" s="37"/>
      <c r="AM12" s="37"/>
      <c r="AN12" s="37"/>
      <c r="AO12" s="37"/>
      <c r="AP12" s="32" t="s">
        <v>120</v>
      </c>
      <c r="AQ12" s="11" t="s">
        <v>121</v>
      </c>
      <c r="AR12" s="12" t="s">
        <v>70</v>
      </c>
      <c r="AS12" s="12" t="s">
        <v>70</v>
      </c>
      <c r="AT12" s="59" t="s">
        <v>72</v>
      </c>
      <c r="AU12" s="59" t="s">
        <v>72</v>
      </c>
      <c r="AV12" s="13"/>
      <c r="AW12" s="17"/>
      <c r="AX12" s="15"/>
      <c r="AY12" s="16"/>
      <c r="AZ12" s="16"/>
      <c r="BA12" s="16"/>
      <c r="BB12" s="16"/>
      <c r="BC12" s="16"/>
      <c r="BD12" s="16"/>
      <c r="BE12" s="16"/>
      <c r="BF12" s="16"/>
      <c r="BG12" s="16"/>
      <c r="BH12" s="16"/>
      <c r="BI12" s="16"/>
      <c r="BJ12" s="16"/>
      <c r="BK12" s="16"/>
      <c r="BL12" s="16"/>
    </row>
    <row r="13" spans="1:64" ht="81.75" customHeight="1">
      <c r="A13" s="9" t="s">
        <v>122</v>
      </c>
      <c r="B13" s="9" t="s">
        <v>59</v>
      </c>
      <c r="C13" s="9" t="s">
        <v>60</v>
      </c>
      <c r="D13" s="78" t="s">
        <v>61</v>
      </c>
      <c r="E13" s="62" t="s">
        <v>123</v>
      </c>
      <c r="F13" s="77" t="s">
        <v>63</v>
      </c>
      <c r="G13" s="67" t="s">
        <v>124</v>
      </c>
      <c r="H13" s="10" t="s">
        <v>125</v>
      </c>
      <c r="I13" s="50" t="s">
        <v>126</v>
      </c>
      <c r="J13" s="19" t="s">
        <v>127</v>
      </c>
      <c r="K13" s="35"/>
      <c r="L13" s="35"/>
      <c r="M13" s="35"/>
      <c r="N13" s="35"/>
      <c r="O13" s="35"/>
      <c r="P13" s="35"/>
      <c r="Q13" s="35"/>
      <c r="R13" s="35"/>
      <c r="S13" s="35"/>
      <c r="T13" s="35"/>
      <c r="U13" s="51"/>
      <c r="V13" s="51"/>
      <c r="W13" s="51"/>
      <c r="X13" s="51"/>
      <c r="Y13" s="35"/>
      <c r="Z13" s="35"/>
      <c r="AA13" s="35"/>
      <c r="AB13" s="35" t="s">
        <v>83</v>
      </c>
      <c r="AC13" s="35"/>
      <c r="AD13" s="35"/>
      <c r="AE13" s="35"/>
      <c r="AF13" s="35"/>
      <c r="AG13" s="35"/>
      <c r="AH13" s="35" t="s">
        <v>83</v>
      </c>
      <c r="AI13" s="35"/>
      <c r="AJ13" s="35"/>
      <c r="AK13" s="35" t="s">
        <v>83</v>
      </c>
      <c r="AL13" s="35" t="s">
        <v>83</v>
      </c>
      <c r="AM13" s="35"/>
      <c r="AN13" s="35"/>
      <c r="AO13" s="35"/>
      <c r="AP13" s="32" t="s">
        <v>128</v>
      </c>
      <c r="AQ13" s="11" t="s">
        <v>129</v>
      </c>
      <c r="AR13" s="12" t="s">
        <v>70</v>
      </c>
      <c r="AS13" s="12"/>
      <c r="AT13" s="59" t="s">
        <v>72</v>
      </c>
      <c r="AU13" s="59" t="s">
        <v>72</v>
      </c>
      <c r="AV13" s="13"/>
      <c r="AW13" s="17"/>
      <c r="AX13" s="15"/>
      <c r="AY13" s="16"/>
      <c r="AZ13" s="16"/>
      <c r="BA13" s="16"/>
      <c r="BB13" s="16"/>
      <c r="BC13" s="16"/>
      <c r="BD13" s="16"/>
      <c r="BE13" s="16"/>
      <c r="BF13" s="16"/>
      <c r="BG13" s="16"/>
      <c r="BH13" s="16"/>
      <c r="BI13" s="16"/>
      <c r="BJ13" s="16"/>
      <c r="BK13" s="16"/>
      <c r="BL13" s="16"/>
    </row>
    <row r="14" spans="1:64" ht="140.25" customHeight="1">
      <c r="A14" s="9" t="s">
        <v>130</v>
      </c>
      <c r="B14" s="9" t="s">
        <v>59</v>
      </c>
      <c r="C14" s="9" t="s">
        <v>60</v>
      </c>
      <c r="D14" s="78" t="s">
        <v>61</v>
      </c>
      <c r="E14" s="62" t="s">
        <v>131</v>
      </c>
      <c r="F14" s="77" t="s">
        <v>63</v>
      </c>
      <c r="G14" s="67" t="s">
        <v>132</v>
      </c>
      <c r="H14" s="71" t="s">
        <v>133</v>
      </c>
      <c r="I14" s="50" t="s">
        <v>134</v>
      </c>
      <c r="J14" s="9" t="s">
        <v>67</v>
      </c>
      <c r="K14" s="35"/>
      <c r="L14" s="35"/>
      <c r="M14" s="35"/>
      <c r="N14" s="35"/>
      <c r="O14" s="35"/>
      <c r="P14" s="35"/>
      <c r="Q14" s="35"/>
      <c r="R14" s="35"/>
      <c r="S14" s="35"/>
      <c r="T14" s="35"/>
      <c r="U14" s="51"/>
      <c r="V14" s="51"/>
      <c r="W14" s="51"/>
      <c r="X14" s="51"/>
      <c r="Y14" s="35"/>
      <c r="Z14" s="35"/>
      <c r="AA14" s="35"/>
      <c r="AB14" s="35" t="s">
        <v>83</v>
      </c>
      <c r="AC14" s="35"/>
      <c r="AD14" s="35"/>
      <c r="AE14" s="35"/>
      <c r="AF14" s="35"/>
      <c r="AG14" s="35"/>
      <c r="AH14" s="35"/>
      <c r="AI14" s="35"/>
      <c r="AJ14" s="35" t="s">
        <v>83</v>
      </c>
      <c r="AK14" s="35"/>
      <c r="AL14" s="35"/>
      <c r="AM14" s="35"/>
      <c r="AN14" s="35"/>
      <c r="AO14" s="35" t="s">
        <v>83</v>
      </c>
      <c r="AP14" s="32" t="s">
        <v>135</v>
      </c>
      <c r="AQ14" s="11" t="s">
        <v>136</v>
      </c>
      <c r="AR14" s="12" t="s">
        <v>70</v>
      </c>
      <c r="AS14" s="12"/>
      <c r="AT14" s="59" t="s">
        <v>72</v>
      </c>
      <c r="AU14" s="59" t="s">
        <v>72</v>
      </c>
      <c r="AV14" s="13"/>
      <c r="AW14" s="17"/>
      <c r="AX14" s="15"/>
      <c r="AY14" s="16"/>
      <c r="AZ14" s="16"/>
      <c r="BA14" s="16"/>
      <c r="BB14" s="16"/>
      <c r="BC14" s="16"/>
      <c r="BD14" s="16"/>
      <c r="BE14" s="16"/>
      <c r="BF14" s="16"/>
      <c r="BG14" s="16"/>
      <c r="BH14" s="16"/>
      <c r="BI14" s="16"/>
      <c r="BJ14" s="16"/>
      <c r="BK14" s="16"/>
      <c r="BL14" s="16"/>
    </row>
    <row r="15" spans="1:64" ht="96" customHeight="1">
      <c r="A15" s="9" t="s">
        <v>137</v>
      </c>
      <c r="B15" s="9" t="s">
        <v>59</v>
      </c>
      <c r="C15" s="9" t="s">
        <v>60</v>
      </c>
      <c r="D15" s="60"/>
      <c r="E15" s="62"/>
      <c r="F15" s="66"/>
      <c r="G15" s="67"/>
      <c r="H15" s="71" t="s">
        <v>138</v>
      </c>
      <c r="I15" s="18" t="s">
        <v>139</v>
      </c>
      <c r="J15" s="9" t="s">
        <v>67</v>
      </c>
      <c r="K15" s="35"/>
      <c r="L15" s="35"/>
      <c r="M15" s="35"/>
      <c r="N15" s="35"/>
      <c r="O15" s="35"/>
      <c r="P15" s="35"/>
      <c r="Q15" s="35"/>
      <c r="R15" s="35"/>
      <c r="S15" s="35"/>
      <c r="T15" s="35"/>
      <c r="U15" s="51"/>
      <c r="V15" s="51"/>
      <c r="W15" s="51"/>
      <c r="X15" s="51"/>
      <c r="Y15" s="35"/>
      <c r="Z15" s="35" t="s">
        <v>83</v>
      </c>
      <c r="AA15" s="35"/>
      <c r="AB15" s="35"/>
      <c r="AC15" s="35" t="s">
        <v>83</v>
      </c>
      <c r="AD15" s="35" t="s">
        <v>83</v>
      </c>
      <c r="AE15" s="35"/>
      <c r="AF15" s="35"/>
      <c r="AG15" s="35"/>
      <c r="AH15" s="35"/>
      <c r="AI15" s="35"/>
      <c r="AJ15" s="35"/>
      <c r="AK15" s="35"/>
      <c r="AL15" s="35"/>
      <c r="AM15" s="35"/>
      <c r="AN15" s="35"/>
      <c r="AO15" s="35"/>
      <c r="AP15" s="32" t="s">
        <v>140</v>
      </c>
      <c r="AQ15" s="17" t="s">
        <v>141</v>
      </c>
      <c r="AR15" s="12" t="s">
        <v>70</v>
      </c>
      <c r="AS15" s="12"/>
      <c r="AT15" s="13" t="s">
        <v>109</v>
      </c>
      <c r="AU15" s="13" t="s">
        <v>109</v>
      </c>
      <c r="AV15" s="13"/>
      <c r="AW15" s="17" t="s">
        <v>142</v>
      </c>
      <c r="AX15" s="15"/>
      <c r="AY15" s="16"/>
      <c r="AZ15" s="16"/>
      <c r="BA15" s="16"/>
      <c r="BB15" s="16"/>
      <c r="BC15" s="16"/>
      <c r="BD15" s="16"/>
      <c r="BE15" s="16"/>
      <c r="BF15" s="16"/>
      <c r="BG15" s="16"/>
      <c r="BH15" s="16"/>
      <c r="BI15" s="16"/>
      <c r="BJ15" s="16"/>
      <c r="BK15" s="16"/>
      <c r="BL15" s="16"/>
    </row>
    <row r="16" spans="1:64" ht="120" customHeight="1">
      <c r="A16" s="9" t="s">
        <v>143</v>
      </c>
      <c r="B16" s="9" t="s">
        <v>59</v>
      </c>
      <c r="C16" s="9" t="s">
        <v>60</v>
      </c>
      <c r="D16" s="60"/>
      <c r="E16" s="62"/>
      <c r="F16" s="66"/>
      <c r="G16" s="67"/>
      <c r="H16" s="71" t="s">
        <v>144</v>
      </c>
      <c r="I16" s="18" t="s">
        <v>145</v>
      </c>
      <c r="J16" s="9" t="s">
        <v>67</v>
      </c>
      <c r="K16" s="35"/>
      <c r="L16" s="35"/>
      <c r="M16" s="35"/>
      <c r="N16" s="35"/>
      <c r="O16" s="35"/>
      <c r="P16" s="35"/>
      <c r="Q16" s="35"/>
      <c r="R16" s="35"/>
      <c r="S16" s="35"/>
      <c r="T16" s="35"/>
      <c r="U16" s="51"/>
      <c r="V16" s="51"/>
      <c r="W16" s="51"/>
      <c r="X16" s="51"/>
      <c r="Y16" s="35"/>
      <c r="Z16" s="35"/>
      <c r="AA16" s="35"/>
      <c r="AB16" s="35"/>
      <c r="AC16" s="35" t="s">
        <v>83</v>
      </c>
      <c r="AD16" s="35" t="s">
        <v>83</v>
      </c>
      <c r="AE16" s="35"/>
      <c r="AF16" s="35"/>
      <c r="AG16" s="35"/>
      <c r="AH16" s="35"/>
      <c r="AI16" s="35"/>
      <c r="AJ16" s="35"/>
      <c r="AK16" s="35"/>
      <c r="AL16" s="35"/>
      <c r="AM16" s="35"/>
      <c r="AN16" s="35"/>
      <c r="AO16" s="35"/>
      <c r="AP16" s="32" t="s">
        <v>140</v>
      </c>
      <c r="AQ16" s="17" t="s">
        <v>142</v>
      </c>
      <c r="AR16" s="12" t="s">
        <v>70</v>
      </c>
      <c r="AS16" s="12"/>
      <c r="AT16" s="13" t="s">
        <v>109</v>
      </c>
      <c r="AU16" s="13" t="s">
        <v>109</v>
      </c>
      <c r="AV16" s="13"/>
      <c r="AW16" s="17" t="s">
        <v>110</v>
      </c>
      <c r="AX16" s="15"/>
      <c r="AY16" s="16"/>
      <c r="AZ16" s="16"/>
      <c r="BA16" s="16"/>
      <c r="BB16" s="16"/>
      <c r="BC16" s="16"/>
      <c r="BD16" s="16"/>
      <c r="BE16" s="16"/>
      <c r="BF16" s="16"/>
      <c r="BG16" s="16"/>
      <c r="BH16" s="16"/>
      <c r="BI16" s="16"/>
      <c r="BJ16" s="16"/>
      <c r="BK16" s="16"/>
      <c r="BL16" s="16"/>
    </row>
    <row r="17" spans="1:64" ht="81" customHeight="1">
      <c r="A17" s="9" t="s">
        <v>146</v>
      </c>
      <c r="B17" s="9" t="s">
        <v>59</v>
      </c>
      <c r="C17" s="9" t="s">
        <v>60</v>
      </c>
      <c r="D17" s="60"/>
      <c r="E17" s="62"/>
      <c r="F17" s="66"/>
      <c r="G17" s="67"/>
      <c r="H17" s="71" t="s">
        <v>147</v>
      </c>
      <c r="I17" s="18" t="s">
        <v>148</v>
      </c>
      <c r="J17" s="9" t="s">
        <v>67</v>
      </c>
      <c r="K17" s="35"/>
      <c r="L17" s="35"/>
      <c r="M17" s="35"/>
      <c r="N17" s="35"/>
      <c r="O17" s="35"/>
      <c r="P17" s="35"/>
      <c r="Q17" s="35"/>
      <c r="R17" s="35"/>
      <c r="S17" s="35"/>
      <c r="T17" s="35"/>
      <c r="U17" s="51"/>
      <c r="V17" s="51"/>
      <c r="W17" s="51"/>
      <c r="X17" s="51"/>
      <c r="Y17" s="35"/>
      <c r="Z17" s="35" t="s">
        <v>83</v>
      </c>
      <c r="AA17" s="35"/>
      <c r="AB17" s="35"/>
      <c r="AC17" s="35" t="s">
        <v>83</v>
      </c>
      <c r="AD17" s="35"/>
      <c r="AE17" s="35" t="s">
        <v>83</v>
      </c>
      <c r="AF17" s="35"/>
      <c r="AG17" s="35"/>
      <c r="AH17" s="35"/>
      <c r="AI17" s="35"/>
      <c r="AJ17" s="35"/>
      <c r="AK17" s="35"/>
      <c r="AL17" s="35"/>
      <c r="AM17" s="35"/>
      <c r="AN17" s="35"/>
      <c r="AO17" s="35"/>
      <c r="AP17" s="32" t="s">
        <v>140</v>
      </c>
      <c r="AQ17" s="17" t="s">
        <v>149</v>
      </c>
      <c r="AR17" s="12" t="s">
        <v>70</v>
      </c>
      <c r="AS17" s="12"/>
      <c r="AT17" s="13" t="s">
        <v>109</v>
      </c>
      <c r="AU17" s="13" t="s">
        <v>109</v>
      </c>
      <c r="AV17" s="13"/>
      <c r="AW17" s="17" t="s">
        <v>150</v>
      </c>
      <c r="AX17" s="15"/>
      <c r="AY17" s="16"/>
      <c r="AZ17" s="16"/>
      <c r="BA17" s="16"/>
      <c r="BB17" s="16"/>
      <c r="BC17" s="16"/>
      <c r="BD17" s="16"/>
      <c r="BE17" s="16"/>
      <c r="BF17" s="16"/>
      <c r="BG17" s="16"/>
      <c r="BH17" s="16"/>
      <c r="BI17" s="16"/>
      <c r="BJ17" s="16"/>
      <c r="BK17" s="16"/>
      <c r="BL17" s="16"/>
    </row>
    <row r="18" spans="1:64" ht="236.25" customHeight="1">
      <c r="A18" s="9" t="s">
        <v>151</v>
      </c>
      <c r="B18" s="9" t="s">
        <v>59</v>
      </c>
      <c r="C18" s="9" t="s">
        <v>60</v>
      </c>
      <c r="D18" s="60"/>
      <c r="E18" s="62"/>
      <c r="F18" s="70" t="s">
        <v>63</v>
      </c>
      <c r="G18" s="67" t="s">
        <v>80</v>
      </c>
      <c r="H18" s="71" t="s">
        <v>152</v>
      </c>
      <c r="I18" s="18" t="s">
        <v>153</v>
      </c>
      <c r="J18" s="9" t="s">
        <v>67</v>
      </c>
      <c r="K18" s="35"/>
      <c r="L18" s="35"/>
      <c r="M18" s="35"/>
      <c r="N18" s="35"/>
      <c r="O18" s="35"/>
      <c r="P18" s="35"/>
      <c r="Q18" s="35"/>
      <c r="R18" s="35"/>
      <c r="S18" s="35"/>
      <c r="T18" s="35"/>
      <c r="U18" s="51"/>
      <c r="V18" s="51"/>
      <c r="W18" s="51"/>
      <c r="X18" s="51"/>
      <c r="Y18" s="35"/>
      <c r="Z18" s="35" t="s">
        <v>83</v>
      </c>
      <c r="AA18" s="35"/>
      <c r="AB18" s="35"/>
      <c r="AC18" s="35" t="s">
        <v>83</v>
      </c>
      <c r="AD18" s="35"/>
      <c r="AE18" s="35"/>
      <c r="AF18" s="35" t="s">
        <v>83</v>
      </c>
      <c r="AG18" s="35"/>
      <c r="AH18" s="35"/>
      <c r="AI18" s="35"/>
      <c r="AJ18" s="35"/>
      <c r="AK18" s="35"/>
      <c r="AL18" s="35"/>
      <c r="AM18" s="35"/>
      <c r="AN18" s="35"/>
      <c r="AO18" s="35"/>
      <c r="AP18" s="32" t="s">
        <v>140</v>
      </c>
      <c r="AQ18" s="11" t="s">
        <v>154</v>
      </c>
      <c r="AR18" s="12" t="s">
        <v>70</v>
      </c>
      <c r="AS18" s="12"/>
      <c r="AT18" s="13" t="s">
        <v>109</v>
      </c>
      <c r="AU18" s="59" t="s">
        <v>72</v>
      </c>
      <c r="AV18" s="13"/>
      <c r="AW18" s="17" t="s">
        <v>110</v>
      </c>
      <c r="AX18" s="15"/>
      <c r="AY18" s="16"/>
      <c r="AZ18" s="16"/>
      <c r="BA18" s="16"/>
      <c r="BB18" s="16"/>
      <c r="BC18" s="16"/>
      <c r="BD18" s="16"/>
      <c r="BE18" s="16"/>
      <c r="BF18" s="16"/>
      <c r="BG18" s="16"/>
      <c r="BH18" s="16"/>
      <c r="BI18" s="16"/>
      <c r="BJ18" s="16"/>
      <c r="BK18" s="16"/>
      <c r="BL18" s="16"/>
    </row>
    <row r="19" spans="1:64" ht="138" customHeight="1">
      <c r="A19" s="9" t="s">
        <v>155</v>
      </c>
      <c r="B19" s="9" t="s">
        <v>59</v>
      </c>
      <c r="C19" s="42" t="s">
        <v>60</v>
      </c>
      <c r="D19" s="60"/>
      <c r="E19" s="62"/>
      <c r="F19" s="66" t="s">
        <v>63</v>
      </c>
      <c r="G19" s="67" t="s">
        <v>80</v>
      </c>
      <c r="H19" s="71" t="s">
        <v>156</v>
      </c>
      <c r="I19" s="43" t="s">
        <v>157</v>
      </c>
      <c r="J19" s="42" t="s">
        <v>67</v>
      </c>
      <c r="K19" s="35"/>
      <c r="L19" s="35"/>
      <c r="M19" s="35"/>
      <c r="N19" s="35"/>
      <c r="O19" s="35"/>
      <c r="P19" s="35"/>
      <c r="Q19" s="35"/>
      <c r="R19" s="35"/>
      <c r="S19" s="35"/>
      <c r="T19" s="35"/>
      <c r="U19" s="51"/>
      <c r="V19" s="51"/>
      <c r="W19" s="51"/>
      <c r="X19" s="51"/>
      <c r="Y19" s="35"/>
      <c r="Z19" s="35" t="s">
        <v>83</v>
      </c>
      <c r="AA19" s="35"/>
      <c r="AB19" s="35"/>
      <c r="AC19" s="35" t="s">
        <v>83</v>
      </c>
      <c r="AD19" s="35"/>
      <c r="AE19" s="35"/>
      <c r="AF19" s="35"/>
      <c r="AG19" s="35" t="s">
        <v>83</v>
      </c>
      <c r="AH19" s="35"/>
      <c r="AI19" s="35"/>
      <c r="AJ19" s="35"/>
      <c r="AK19" s="35"/>
      <c r="AL19" s="35"/>
      <c r="AM19" s="35"/>
      <c r="AN19" s="35"/>
      <c r="AO19" s="35"/>
      <c r="AP19" s="32" t="s">
        <v>140</v>
      </c>
      <c r="AQ19" s="11" t="s">
        <v>158</v>
      </c>
      <c r="AR19" s="12" t="s">
        <v>70</v>
      </c>
      <c r="AS19" s="12"/>
      <c r="AT19" s="13" t="s">
        <v>109</v>
      </c>
      <c r="AU19" s="13" t="s">
        <v>109</v>
      </c>
      <c r="AV19" s="13"/>
      <c r="AW19" s="17" t="s">
        <v>159</v>
      </c>
      <c r="AX19" s="15"/>
      <c r="AY19" s="16"/>
      <c r="AZ19" s="16"/>
      <c r="BA19" s="16"/>
      <c r="BB19" s="16"/>
      <c r="BC19" s="16"/>
      <c r="BD19" s="16"/>
      <c r="BE19" s="16"/>
      <c r="BF19" s="16"/>
      <c r="BG19" s="16"/>
      <c r="BH19" s="16"/>
      <c r="BI19" s="16"/>
      <c r="BJ19" s="16"/>
      <c r="BK19" s="16"/>
      <c r="BL19" s="16"/>
    </row>
    <row r="20" spans="1:64" ht="138" customHeight="1">
      <c r="A20" s="47" t="s">
        <v>160</v>
      </c>
      <c r="B20" s="9" t="s">
        <v>59</v>
      </c>
      <c r="C20" s="9" t="s">
        <v>60</v>
      </c>
      <c r="D20" s="78" t="s">
        <v>61</v>
      </c>
      <c r="E20" s="62" t="s">
        <v>161</v>
      </c>
      <c r="F20" s="77" t="s">
        <v>63</v>
      </c>
      <c r="G20" s="67" t="s">
        <v>162</v>
      </c>
      <c r="H20" s="71" t="s">
        <v>163</v>
      </c>
      <c r="I20" s="48" t="s">
        <v>164</v>
      </c>
      <c r="J20" s="19" t="s">
        <v>127</v>
      </c>
      <c r="K20" s="35"/>
      <c r="L20" s="35"/>
      <c r="M20" s="35"/>
      <c r="N20" s="35"/>
      <c r="O20" s="35"/>
      <c r="P20" s="35"/>
      <c r="Q20" s="35"/>
      <c r="R20" s="35"/>
      <c r="S20" s="35"/>
      <c r="T20" s="35"/>
      <c r="U20" s="51"/>
      <c r="V20" s="51"/>
      <c r="W20" s="51"/>
      <c r="X20" s="51"/>
      <c r="Y20" s="35"/>
      <c r="Z20" s="35" t="s">
        <v>83</v>
      </c>
      <c r="AA20" s="35"/>
      <c r="AB20" s="35"/>
      <c r="AC20" s="35" t="s">
        <v>83</v>
      </c>
      <c r="AD20" s="35"/>
      <c r="AE20" s="35"/>
      <c r="AF20" s="35"/>
      <c r="AG20" s="35"/>
      <c r="AH20" s="35"/>
      <c r="AI20" s="35"/>
      <c r="AJ20" s="35"/>
      <c r="AK20" s="35"/>
      <c r="AL20" s="35"/>
      <c r="AM20" s="35"/>
      <c r="AN20" s="35"/>
      <c r="AO20" s="35"/>
      <c r="AP20" s="32" t="s">
        <v>165</v>
      </c>
      <c r="AQ20" s="11" t="s">
        <v>166</v>
      </c>
      <c r="AR20" s="12" t="s">
        <v>70</v>
      </c>
      <c r="AS20" s="12"/>
      <c r="AT20" s="59" t="s">
        <v>72</v>
      </c>
      <c r="AU20" s="59" t="s">
        <v>72</v>
      </c>
      <c r="AV20" s="13"/>
      <c r="AW20" s="20"/>
      <c r="AX20" s="15"/>
      <c r="AY20" s="16"/>
      <c r="AZ20" s="16"/>
      <c r="BA20" s="16"/>
      <c r="BB20" s="16"/>
      <c r="BC20" s="16"/>
      <c r="BD20" s="16"/>
      <c r="BE20" s="16"/>
      <c r="BF20" s="16"/>
      <c r="BG20" s="16"/>
      <c r="BH20" s="16"/>
      <c r="BI20" s="16"/>
      <c r="BJ20" s="16"/>
      <c r="BK20" s="16"/>
      <c r="BL20" s="16"/>
    </row>
    <row r="21" spans="1:64" ht="129" customHeight="1">
      <c r="A21" s="9" t="s">
        <v>167</v>
      </c>
      <c r="B21" s="9" t="s">
        <v>59</v>
      </c>
      <c r="C21" s="13" t="s">
        <v>60</v>
      </c>
      <c r="D21" s="78" t="s">
        <v>61</v>
      </c>
      <c r="E21" s="62" t="s">
        <v>168</v>
      </c>
      <c r="F21" s="77" t="s">
        <v>63</v>
      </c>
      <c r="G21" s="67" t="s">
        <v>169</v>
      </c>
      <c r="H21" s="71" t="s">
        <v>170</v>
      </c>
      <c r="I21" s="44" t="s">
        <v>171</v>
      </c>
      <c r="J21" s="13" t="s">
        <v>67</v>
      </c>
      <c r="K21" s="35"/>
      <c r="L21" s="35"/>
      <c r="M21" s="35"/>
      <c r="N21" s="35"/>
      <c r="O21" s="35"/>
      <c r="P21" s="35"/>
      <c r="Q21" s="35"/>
      <c r="R21" s="35"/>
      <c r="S21" s="35"/>
      <c r="T21" s="35"/>
      <c r="U21" s="51"/>
      <c r="V21" s="51"/>
      <c r="W21" s="51"/>
      <c r="X21" s="51"/>
      <c r="Y21" s="35"/>
      <c r="Z21" s="35" t="s">
        <v>83</v>
      </c>
      <c r="AA21" s="35"/>
      <c r="AB21" s="35"/>
      <c r="AC21" s="35" t="s">
        <v>83</v>
      </c>
      <c r="AD21" s="35"/>
      <c r="AE21" s="35"/>
      <c r="AF21" s="35"/>
      <c r="AG21" s="35"/>
      <c r="AH21" s="35"/>
      <c r="AI21" s="35"/>
      <c r="AJ21" s="35" t="s">
        <v>83</v>
      </c>
      <c r="AK21" s="35"/>
      <c r="AL21" s="35"/>
      <c r="AM21" s="35"/>
      <c r="AN21" s="35"/>
      <c r="AO21" s="35"/>
      <c r="AP21" s="32" t="s">
        <v>172</v>
      </c>
      <c r="AQ21" s="40" t="s">
        <v>173</v>
      </c>
      <c r="AR21" s="12" t="s">
        <v>70</v>
      </c>
      <c r="AS21" s="12"/>
      <c r="AT21" s="59" t="s">
        <v>72</v>
      </c>
      <c r="AU21" s="59" t="s">
        <v>72</v>
      </c>
      <c r="AV21" s="13"/>
      <c r="AW21" s="20"/>
      <c r="AX21" s="15"/>
      <c r="AY21" s="16"/>
      <c r="AZ21" s="16"/>
      <c r="BA21" s="16"/>
      <c r="BB21" s="16"/>
      <c r="BC21" s="16"/>
      <c r="BD21" s="16"/>
      <c r="BE21" s="16"/>
      <c r="BF21" s="16"/>
      <c r="BG21" s="16"/>
      <c r="BH21" s="16"/>
      <c r="BI21" s="16"/>
      <c r="BJ21" s="16"/>
      <c r="BK21" s="16"/>
      <c r="BL21" s="16"/>
    </row>
    <row r="22" spans="1:64" ht="107.25" customHeight="1">
      <c r="A22" s="9" t="s">
        <v>174</v>
      </c>
      <c r="B22" s="9" t="s">
        <v>59</v>
      </c>
      <c r="C22" s="9" t="s">
        <v>60</v>
      </c>
      <c r="D22" s="78" t="s">
        <v>61</v>
      </c>
      <c r="E22" s="62" t="s">
        <v>62</v>
      </c>
      <c r="F22" s="77" t="s">
        <v>63</v>
      </c>
      <c r="G22" s="67" t="s">
        <v>80</v>
      </c>
      <c r="H22" s="71" t="s">
        <v>175</v>
      </c>
      <c r="I22" s="50" t="s">
        <v>176</v>
      </c>
      <c r="J22" s="9" t="s">
        <v>67</v>
      </c>
      <c r="K22" s="35"/>
      <c r="L22" s="35"/>
      <c r="M22" s="35"/>
      <c r="N22" s="35"/>
      <c r="O22" s="35"/>
      <c r="P22" s="35"/>
      <c r="Q22" s="35"/>
      <c r="R22" s="35"/>
      <c r="S22" s="35"/>
      <c r="T22" s="35"/>
      <c r="U22" s="35" t="s">
        <v>83</v>
      </c>
      <c r="V22" s="51"/>
      <c r="W22" s="51"/>
      <c r="X22" s="35"/>
      <c r="Y22" s="35" t="s">
        <v>83</v>
      </c>
      <c r="Z22" s="35"/>
      <c r="AA22" s="35"/>
      <c r="AB22" s="35"/>
      <c r="AC22" s="35"/>
      <c r="AD22" s="35"/>
      <c r="AE22" s="35"/>
      <c r="AF22" s="35"/>
      <c r="AG22" s="35"/>
      <c r="AH22" s="35"/>
      <c r="AI22" s="35"/>
      <c r="AJ22" s="35"/>
      <c r="AK22" s="35"/>
      <c r="AL22" s="35"/>
      <c r="AM22" s="35"/>
      <c r="AN22" s="35"/>
      <c r="AO22" s="35"/>
      <c r="AP22" s="49" t="s">
        <v>177</v>
      </c>
      <c r="AQ22" s="17" t="s">
        <v>178</v>
      </c>
      <c r="AR22" s="39" t="s">
        <v>70</v>
      </c>
      <c r="AS22" s="12"/>
      <c r="AT22" s="59" t="s">
        <v>72</v>
      </c>
      <c r="AU22" s="59" t="s">
        <v>72</v>
      </c>
      <c r="AV22" s="13"/>
      <c r="AW22" s="17"/>
      <c r="AX22" s="15"/>
      <c r="AY22" s="16"/>
      <c r="AZ22" s="16"/>
      <c r="BA22" s="16"/>
      <c r="BB22" s="16"/>
      <c r="BC22" s="16"/>
      <c r="BD22" s="16"/>
      <c r="BE22" s="16"/>
      <c r="BF22" s="16"/>
      <c r="BG22" s="16"/>
      <c r="BH22" s="16"/>
      <c r="BI22" s="16"/>
      <c r="BJ22" s="16"/>
      <c r="BK22" s="16"/>
      <c r="BL22" s="16"/>
    </row>
    <row r="23" spans="1:64" ht="121.5" customHeight="1">
      <c r="A23" s="9" t="s">
        <v>179</v>
      </c>
      <c r="B23" s="9" t="s">
        <v>59</v>
      </c>
      <c r="C23" s="9" t="s">
        <v>60</v>
      </c>
      <c r="D23" s="78" t="s">
        <v>61</v>
      </c>
      <c r="E23" s="62" t="s">
        <v>62</v>
      </c>
      <c r="F23" s="66"/>
      <c r="G23" s="67"/>
      <c r="H23" s="71" t="s">
        <v>180</v>
      </c>
      <c r="I23" s="50" t="s">
        <v>181</v>
      </c>
      <c r="J23" s="9" t="s">
        <v>67</v>
      </c>
      <c r="K23" s="35"/>
      <c r="L23" s="35"/>
      <c r="M23" s="35"/>
      <c r="N23" s="35"/>
      <c r="O23" s="35"/>
      <c r="P23" s="35"/>
      <c r="Q23" s="35"/>
      <c r="R23" s="35"/>
      <c r="S23" s="35"/>
      <c r="T23" s="35"/>
      <c r="U23" s="35"/>
      <c r="V23" s="51"/>
      <c r="W23" s="51"/>
      <c r="X23" s="35" t="s">
        <v>83</v>
      </c>
      <c r="Y23" s="35" t="s">
        <v>83</v>
      </c>
      <c r="Z23" s="35"/>
      <c r="AA23" s="35"/>
      <c r="AB23" s="35"/>
      <c r="AC23" s="35"/>
      <c r="AD23" s="35"/>
      <c r="AE23" s="35"/>
      <c r="AF23" s="35"/>
      <c r="AG23" s="35"/>
      <c r="AH23" s="35"/>
      <c r="AI23" s="35"/>
      <c r="AJ23" s="35"/>
      <c r="AK23" s="35"/>
      <c r="AL23" s="35"/>
      <c r="AM23" s="35"/>
      <c r="AN23" s="35"/>
      <c r="AO23" s="35"/>
      <c r="AP23" s="32" t="s">
        <v>177</v>
      </c>
      <c r="AQ23" s="41" t="s">
        <v>182</v>
      </c>
      <c r="AR23" s="12" t="s">
        <v>70</v>
      </c>
      <c r="AS23" s="12"/>
      <c r="AT23" s="59" t="s">
        <v>72</v>
      </c>
      <c r="AU23" s="13" t="s">
        <v>109</v>
      </c>
      <c r="AV23" s="13"/>
      <c r="AW23" s="17"/>
      <c r="AX23" s="15"/>
      <c r="AY23" s="16"/>
      <c r="AZ23" s="16"/>
      <c r="BA23" s="16"/>
      <c r="BB23" s="16"/>
      <c r="BC23" s="16"/>
      <c r="BD23" s="16"/>
      <c r="BE23" s="16"/>
      <c r="BF23" s="16"/>
      <c r="BG23" s="16"/>
      <c r="BH23" s="16"/>
      <c r="BI23" s="16"/>
      <c r="BJ23" s="16"/>
      <c r="BK23" s="16"/>
      <c r="BL23" s="16"/>
    </row>
    <row r="24" spans="1:6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2"/>
      <c r="AT24" s="23"/>
      <c r="AU24" s="23"/>
      <c r="AV24" s="23"/>
      <c r="AW24" s="21"/>
      <c r="AX24" s="21"/>
      <c r="AY24" s="21"/>
      <c r="AZ24" s="21"/>
      <c r="BA24" s="21"/>
      <c r="BB24" s="21"/>
      <c r="BC24" s="21"/>
      <c r="BD24" s="21"/>
      <c r="BE24" s="21"/>
      <c r="BF24" s="21"/>
      <c r="BG24" s="21"/>
      <c r="BH24" s="21"/>
      <c r="BI24" s="21"/>
      <c r="BJ24" s="21"/>
      <c r="BK24" s="21"/>
      <c r="BL24" s="21"/>
    </row>
    <row r="25" spans="1:64"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4" t="s">
        <v>183</v>
      </c>
      <c r="AT25" s="25"/>
      <c r="AU25" s="25"/>
      <c r="AV25" s="25"/>
      <c r="AW25" s="21"/>
      <c r="AX25" s="21"/>
      <c r="AY25" s="21"/>
      <c r="AZ25" s="21"/>
      <c r="BA25" s="21"/>
      <c r="BB25" s="21"/>
      <c r="BC25" s="21"/>
      <c r="BD25" s="21"/>
      <c r="BE25" s="21"/>
      <c r="BF25" s="21"/>
      <c r="BG25" s="21"/>
      <c r="BH25" s="21"/>
      <c r="BI25" s="21"/>
      <c r="BJ25" s="21"/>
      <c r="BK25" s="21"/>
      <c r="BL25" s="21"/>
    </row>
    <row r="26" spans="1:64"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6"/>
      <c r="AT26" s="27"/>
      <c r="AU26" s="27"/>
      <c r="AV26" s="27"/>
      <c r="AW26" s="21"/>
      <c r="AX26" s="21"/>
      <c r="AY26" s="21"/>
      <c r="AZ26" s="21"/>
      <c r="BA26" s="21"/>
      <c r="BB26" s="21"/>
      <c r="BC26" s="21"/>
      <c r="BD26" s="21"/>
      <c r="BE26" s="21"/>
      <c r="BF26" s="21"/>
      <c r="BG26" s="21"/>
      <c r="BH26" s="21"/>
      <c r="BI26" s="21"/>
      <c r="BJ26" s="21"/>
      <c r="BK26" s="21"/>
      <c r="BL26" s="21"/>
    </row>
    <row r="27" spans="1:64"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6"/>
      <c r="AT27" s="28" t="s">
        <v>61</v>
      </c>
      <c r="AU27" s="28" t="s">
        <v>63</v>
      </c>
      <c r="AV27" s="55"/>
      <c r="AW27" s="21"/>
      <c r="AX27" s="21"/>
      <c r="AY27" s="21"/>
      <c r="AZ27" s="21"/>
      <c r="BA27" s="21"/>
      <c r="BB27" s="21"/>
      <c r="BC27" s="21"/>
      <c r="BD27" s="21"/>
      <c r="BE27" s="21"/>
      <c r="BF27" s="21"/>
      <c r="BG27" s="21"/>
      <c r="BH27" s="21"/>
      <c r="BI27" s="21"/>
      <c r="BJ27" s="21"/>
      <c r="BK27" s="21"/>
      <c r="BL27" s="21"/>
    </row>
    <row r="28" spans="1:64"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9" t="s">
        <v>184</v>
      </c>
      <c r="AT28" s="33">
        <f>COUNTIF(AT4:AT23,"Not Start")</f>
        <v>0</v>
      </c>
      <c r="AU28" s="33">
        <f>COUNTIF(AU4:AU23,"Not Start")</f>
        <v>0</v>
      </c>
      <c r="AV28" s="56"/>
      <c r="AW28" s="21"/>
      <c r="AX28" s="21"/>
      <c r="AY28" s="21"/>
      <c r="AZ28" s="21"/>
      <c r="BA28" s="21"/>
      <c r="BB28" s="21"/>
      <c r="BC28" s="21"/>
      <c r="BD28" s="21"/>
      <c r="BE28" s="21"/>
      <c r="BF28" s="21"/>
      <c r="BG28" s="21"/>
      <c r="BH28" s="21"/>
      <c r="BI28" s="21"/>
      <c r="BJ28" s="21"/>
      <c r="BK28" s="21"/>
      <c r="BL28" s="21"/>
    </row>
    <row r="29" spans="1:64"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9" t="s">
        <v>185</v>
      </c>
      <c r="AT29" s="33">
        <f>COUNTIF(AT4:AT23,"Inprogress")</f>
        <v>0</v>
      </c>
      <c r="AU29" s="33">
        <f>COUNTIF(AU4:AU23,"Inprogress")</f>
        <v>0</v>
      </c>
      <c r="AV29" s="56"/>
      <c r="AW29" s="21"/>
      <c r="AX29" s="21"/>
      <c r="AY29" s="21"/>
      <c r="AZ29" s="21"/>
      <c r="BA29" s="21"/>
      <c r="BB29" s="21"/>
      <c r="BC29" s="21"/>
      <c r="BD29" s="21"/>
      <c r="BE29" s="21"/>
      <c r="BF29" s="21"/>
      <c r="BG29" s="21"/>
      <c r="BH29" s="21"/>
      <c r="BI29" s="21"/>
      <c r="BJ29" s="21"/>
      <c r="BK29" s="21"/>
      <c r="BL29" s="21"/>
    </row>
    <row r="30" spans="1:64"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9" t="s">
        <v>109</v>
      </c>
      <c r="AT30" s="33">
        <f>COUNTIF(AT4:AT23,"Skip")</f>
        <v>7</v>
      </c>
      <c r="AU30" s="33">
        <f>COUNTIF(AU4:AU23,"Skip")</f>
        <v>5</v>
      </c>
      <c r="AV30" s="56"/>
      <c r="AW30" s="21"/>
      <c r="AX30" s="21"/>
      <c r="AY30" s="21"/>
      <c r="AZ30" s="21"/>
      <c r="BA30" s="21"/>
      <c r="BB30" s="21"/>
      <c r="BC30" s="21"/>
      <c r="BD30" s="21"/>
      <c r="BE30" s="21"/>
      <c r="BF30" s="21"/>
      <c r="BG30" s="21"/>
      <c r="BH30" s="21"/>
      <c r="BI30" s="21"/>
      <c r="BJ30" s="21"/>
      <c r="BK30" s="21"/>
      <c r="BL30" s="21"/>
    </row>
    <row r="31" spans="1:64"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9" t="s">
        <v>186</v>
      </c>
      <c r="AT31" s="33">
        <f>COUNTIF(AT4:AT23,"Failed")</f>
        <v>0</v>
      </c>
      <c r="AU31" s="33">
        <f>COUNTIF(AU4:AU23,"Failed")</f>
        <v>0</v>
      </c>
      <c r="AV31" s="56"/>
      <c r="AW31" s="21"/>
      <c r="AX31" s="21"/>
      <c r="AY31" s="21"/>
      <c r="AZ31" s="21"/>
      <c r="BA31" s="21"/>
      <c r="BB31" s="21"/>
      <c r="BC31" s="21"/>
      <c r="BD31" s="21"/>
      <c r="BE31" s="21"/>
      <c r="BF31" s="21"/>
      <c r="BG31" s="21"/>
      <c r="BH31" s="21"/>
      <c r="BI31" s="21"/>
      <c r="BJ31" s="21"/>
      <c r="BK31" s="21"/>
      <c r="BL31" s="21"/>
    </row>
    <row r="32" spans="1:64"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9" t="s">
        <v>187</v>
      </c>
      <c r="AT32" s="33">
        <f t="shared" ref="AT32:AU32" si="0">COUNTIF(AT5:AT24,"Block")</f>
        <v>0</v>
      </c>
      <c r="AU32" s="33">
        <f t="shared" si="0"/>
        <v>0</v>
      </c>
      <c r="AV32" s="56"/>
      <c r="AW32" s="21"/>
      <c r="AX32" s="21"/>
      <c r="AY32" s="21"/>
      <c r="AZ32" s="21"/>
      <c r="BA32" s="21"/>
      <c r="BB32" s="21"/>
      <c r="BC32" s="21"/>
      <c r="BD32" s="21"/>
      <c r="BE32" s="21"/>
      <c r="BF32" s="21"/>
      <c r="BG32" s="21"/>
      <c r="BH32" s="21"/>
      <c r="BI32" s="21"/>
      <c r="BJ32" s="21"/>
      <c r="BK32" s="21"/>
      <c r="BL32" s="21"/>
    </row>
    <row r="33" spans="1:64"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9" t="s">
        <v>188</v>
      </c>
      <c r="AT33" s="30">
        <f>COUNTIF(AT4:AT23,"Passed")</f>
        <v>13</v>
      </c>
      <c r="AU33" s="30">
        <f>COUNTIF(AU4:AU23,"Passed")</f>
        <v>15</v>
      </c>
      <c r="AV33" s="57"/>
      <c r="AW33" s="21"/>
      <c r="AX33" s="21"/>
      <c r="AY33" s="21"/>
      <c r="AZ33" s="21"/>
      <c r="BA33" s="21"/>
      <c r="BB33" s="21"/>
      <c r="BC33" s="21"/>
      <c r="BD33" s="21"/>
      <c r="BE33" s="21"/>
      <c r="BF33" s="21"/>
      <c r="BG33" s="21"/>
      <c r="BH33" s="21"/>
      <c r="BI33" s="21"/>
      <c r="BJ33" s="21"/>
      <c r="BK33" s="21"/>
      <c r="BL33" s="21"/>
    </row>
    <row r="34" spans="1:6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6"/>
      <c r="AT34" s="26"/>
      <c r="AU34" s="26"/>
      <c r="AV34" s="26"/>
      <c r="AW34" s="21"/>
      <c r="AX34" s="21"/>
      <c r="AY34" s="21"/>
      <c r="AZ34" s="21"/>
      <c r="BA34" s="21"/>
      <c r="BB34" s="21"/>
      <c r="BC34" s="21"/>
      <c r="BD34" s="21"/>
      <c r="BE34" s="21"/>
      <c r="BF34" s="21"/>
      <c r="BG34" s="21"/>
      <c r="BH34" s="21"/>
      <c r="BI34" s="21"/>
      <c r="BJ34" s="21"/>
      <c r="BK34" s="21"/>
      <c r="BL34" s="21"/>
    </row>
    <row r="35" spans="1:64"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6"/>
      <c r="AT35" s="28" t="s">
        <v>61</v>
      </c>
      <c r="AU35" s="28" t="s">
        <v>63</v>
      </c>
      <c r="AV35" s="55"/>
      <c r="AW35" s="21"/>
      <c r="AX35" s="21"/>
      <c r="AY35" s="21"/>
      <c r="AZ35" s="21"/>
      <c r="BA35" s="21"/>
      <c r="BB35" s="21"/>
      <c r="BC35" s="21"/>
      <c r="BD35" s="21"/>
      <c r="BE35" s="21"/>
      <c r="BF35" s="21"/>
      <c r="BG35" s="21"/>
      <c r="BH35" s="21"/>
      <c r="BI35" s="21"/>
      <c r="BJ35" s="21"/>
      <c r="BK35" s="21"/>
      <c r="BL35" s="21"/>
    </row>
    <row r="36" spans="1:64"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9" t="s">
        <v>189</v>
      </c>
      <c r="AT36" s="34">
        <f t="shared" ref="AT36:AU36" si="1">AT33/(AT33+AT28+AT29+AT31)</f>
        <v>1</v>
      </c>
      <c r="AU36" s="34">
        <f t="shared" si="1"/>
        <v>1</v>
      </c>
      <c r="AV36" s="58"/>
      <c r="AW36" s="21"/>
      <c r="AX36" s="21"/>
      <c r="AY36" s="21"/>
      <c r="AZ36" s="21"/>
      <c r="BA36" s="21"/>
      <c r="BB36" s="21"/>
      <c r="BC36" s="21"/>
      <c r="BD36" s="21"/>
      <c r="BE36" s="21"/>
      <c r="BF36" s="21"/>
      <c r="BG36" s="21"/>
      <c r="BH36" s="21"/>
      <c r="BI36" s="21"/>
      <c r="BJ36" s="21"/>
      <c r="BK36" s="21"/>
      <c r="BL36" s="21"/>
    </row>
    <row r="37" spans="1:64"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row>
    <row r="38" spans="1:64" ht="15.75" customHeight="1">
      <c r="A38" s="21"/>
      <c r="B38" s="21"/>
      <c r="C38" s="21"/>
      <c r="D38" s="21"/>
      <c r="E38" s="21"/>
      <c r="F38" s="21"/>
      <c r="G38" s="21"/>
      <c r="H38" s="21"/>
      <c r="I38" s="21"/>
      <c r="J38" s="3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row>
    <row r="39" spans="1:64" ht="15.75" customHeight="1">
      <c r="A39" s="21"/>
      <c r="B39" s="21"/>
      <c r="C39" s="21"/>
      <c r="D39" s="21"/>
      <c r="E39" s="21"/>
      <c r="F39" s="21"/>
      <c r="G39" s="21"/>
      <c r="H39" s="21"/>
      <c r="I39" s="21"/>
      <c r="J39" s="3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row>
    <row r="40" spans="1:64" ht="15.75" customHeight="1">
      <c r="A40" s="21"/>
      <c r="B40" s="21"/>
      <c r="C40" s="21"/>
      <c r="D40" s="21"/>
      <c r="E40" s="21"/>
      <c r="F40" s="21"/>
      <c r="G40" s="21"/>
      <c r="H40" s="21"/>
      <c r="I40" s="21"/>
      <c r="J40" s="3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row>
    <row r="41" spans="1:64" ht="15.75" customHeight="1">
      <c r="A41" s="21"/>
      <c r="B41" s="21"/>
      <c r="C41" s="21"/>
      <c r="D41" s="21"/>
      <c r="E41" s="21"/>
      <c r="F41" s="21"/>
      <c r="G41" s="21"/>
      <c r="H41" s="21"/>
      <c r="I41" s="21"/>
      <c r="J41" s="3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row>
    <row r="42" spans="1:64" ht="15.75" customHeight="1">
      <c r="A42" s="21"/>
      <c r="B42" s="21"/>
      <c r="C42" s="21"/>
      <c r="D42" s="21"/>
      <c r="E42" s="21"/>
      <c r="F42" s="21"/>
      <c r="G42" s="21"/>
      <c r="H42" s="21"/>
      <c r="I42" s="21"/>
      <c r="J42" s="3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row>
    <row r="43" spans="1:64" ht="15.75" customHeight="1">
      <c r="A43" s="21"/>
      <c r="B43" s="21"/>
      <c r="C43" s="21"/>
      <c r="D43" s="21"/>
      <c r="E43" s="21"/>
      <c r="F43" s="21"/>
      <c r="G43" s="21"/>
      <c r="H43" s="21"/>
      <c r="I43" s="21"/>
      <c r="J43" s="3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row>
    <row r="44" spans="1:64" ht="15.75" customHeight="1">
      <c r="A44" s="21"/>
      <c r="B44" s="21"/>
      <c r="C44" s="21"/>
      <c r="D44" s="21"/>
      <c r="E44" s="21"/>
      <c r="F44" s="21"/>
      <c r="G44" s="21"/>
      <c r="H44" s="21"/>
      <c r="I44" s="21"/>
      <c r="J44" s="3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row>
    <row r="45" spans="1:64" ht="15.75" customHeight="1">
      <c r="A45" s="21"/>
      <c r="B45" s="21"/>
      <c r="C45" s="21"/>
      <c r="D45" s="21"/>
      <c r="E45" s="21"/>
      <c r="F45" s="21"/>
      <c r="G45" s="21"/>
      <c r="H45" s="21"/>
      <c r="I45" s="21"/>
      <c r="J45" s="3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row>
    <row r="46" spans="1:64" ht="15.75" customHeight="1">
      <c r="A46" s="21"/>
      <c r="B46" s="21"/>
      <c r="C46" s="21"/>
      <c r="D46" s="21"/>
      <c r="E46" s="21"/>
      <c r="F46" s="21"/>
      <c r="G46" s="21"/>
      <c r="H46" s="21"/>
      <c r="I46" s="21"/>
      <c r="J46" s="3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row>
    <row r="47" spans="1:64" ht="15.75" customHeight="1">
      <c r="A47" s="21"/>
      <c r="B47" s="21"/>
      <c r="C47" s="21"/>
      <c r="D47" s="21"/>
      <c r="E47" s="21"/>
      <c r="F47" s="21"/>
      <c r="G47" s="21"/>
      <c r="H47" s="21"/>
      <c r="I47" s="21"/>
      <c r="J47" s="3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row>
    <row r="48" spans="1:64" ht="15.75" customHeight="1">
      <c r="A48" s="21"/>
      <c r="B48" s="21"/>
      <c r="C48" s="21"/>
      <c r="D48" s="21"/>
      <c r="E48" s="21"/>
      <c r="F48" s="21"/>
      <c r="G48" s="21"/>
      <c r="H48" s="21"/>
      <c r="I48" s="21"/>
      <c r="J48" s="3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row>
    <row r="49" spans="1:64" ht="15.75" customHeight="1">
      <c r="A49" s="21"/>
      <c r="B49" s="21"/>
      <c r="C49" s="21"/>
      <c r="D49" s="21"/>
      <c r="E49" s="21"/>
      <c r="F49" s="21"/>
      <c r="G49" s="21"/>
      <c r="H49" s="21"/>
      <c r="I49" s="21"/>
      <c r="J49" s="3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row>
    <row r="50" spans="1:64" ht="15.75" customHeight="1">
      <c r="A50" s="21"/>
      <c r="B50" s="21"/>
      <c r="C50" s="21"/>
      <c r="D50" s="21"/>
      <c r="E50" s="21"/>
      <c r="F50" s="21"/>
      <c r="G50" s="21"/>
      <c r="H50" s="21"/>
      <c r="I50" s="21"/>
      <c r="J50" s="3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row>
    <row r="51" spans="1:64" ht="15.75" customHeight="1">
      <c r="A51" s="21"/>
      <c r="B51" s="21"/>
      <c r="C51" s="21"/>
      <c r="D51" s="21"/>
      <c r="E51" s="21"/>
      <c r="F51" s="21"/>
      <c r="G51" s="21"/>
      <c r="H51" s="21"/>
      <c r="I51" s="21"/>
      <c r="J51" s="3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row>
    <row r="52" spans="1:64" ht="15.75" customHeight="1">
      <c r="A52" s="21"/>
      <c r="B52" s="21"/>
      <c r="C52" s="21"/>
      <c r="D52" s="21"/>
      <c r="E52" s="21"/>
      <c r="F52" s="21"/>
      <c r="G52" s="21"/>
      <c r="H52" s="21"/>
      <c r="I52" s="21"/>
      <c r="J52" s="3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row>
    <row r="53" spans="1:64" ht="15.75" customHeight="1">
      <c r="A53" s="21"/>
      <c r="B53" s="21"/>
      <c r="C53" s="21"/>
      <c r="D53" s="21"/>
      <c r="E53" s="21"/>
      <c r="F53" s="21"/>
      <c r="G53" s="21"/>
      <c r="H53" s="21"/>
      <c r="I53" s="21"/>
      <c r="J53" s="3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row>
    <row r="54" spans="1:64" ht="15.75" customHeight="1">
      <c r="A54" s="21"/>
      <c r="B54" s="21"/>
      <c r="C54" s="21"/>
      <c r="D54" s="21"/>
      <c r="E54" s="21"/>
      <c r="F54" s="21"/>
      <c r="G54" s="21"/>
      <c r="H54" s="21"/>
      <c r="I54" s="21"/>
      <c r="J54" s="3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row>
    <row r="55" spans="1:64" ht="15.75" customHeight="1">
      <c r="A55" s="21"/>
      <c r="B55" s="21"/>
      <c r="C55" s="21"/>
      <c r="D55" s="21"/>
      <c r="E55" s="21"/>
      <c r="F55" s="21"/>
      <c r="G55" s="21"/>
      <c r="H55" s="21"/>
      <c r="I55" s="21"/>
      <c r="J55" s="3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row>
    <row r="56" spans="1:64" ht="15.75" customHeight="1">
      <c r="A56" s="21"/>
      <c r="B56" s="21"/>
      <c r="C56" s="21"/>
      <c r="D56" s="21"/>
      <c r="E56" s="21"/>
      <c r="F56" s="21"/>
      <c r="G56" s="21"/>
      <c r="H56" s="21"/>
      <c r="I56" s="21"/>
      <c r="J56" s="3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row>
    <row r="57" spans="1:64" ht="15.75" customHeight="1">
      <c r="A57" s="21"/>
      <c r="B57" s="21"/>
      <c r="C57" s="21"/>
      <c r="D57" s="21"/>
      <c r="E57" s="21"/>
      <c r="F57" s="21"/>
      <c r="G57" s="21"/>
      <c r="H57" s="21"/>
      <c r="I57" s="21"/>
      <c r="J57" s="3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row>
    <row r="58" spans="1:64" ht="15.75" customHeight="1">
      <c r="A58" s="21"/>
      <c r="B58" s="21"/>
      <c r="C58" s="21"/>
      <c r="D58" s="21"/>
      <c r="E58" s="21"/>
      <c r="F58" s="21"/>
      <c r="G58" s="21"/>
      <c r="H58" s="21"/>
      <c r="I58" s="21"/>
      <c r="J58" s="3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row>
    <row r="59" spans="1:64" ht="15.75" customHeight="1">
      <c r="A59" s="21"/>
      <c r="B59" s="21"/>
      <c r="C59" s="21"/>
      <c r="D59" s="21"/>
      <c r="E59" s="21"/>
      <c r="F59" s="21"/>
      <c r="G59" s="21"/>
      <c r="H59" s="21"/>
      <c r="I59" s="21"/>
      <c r="J59" s="3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row>
    <row r="60" spans="1:64" ht="15.75" customHeight="1">
      <c r="A60" s="21"/>
      <c r="B60" s="21"/>
      <c r="C60" s="21"/>
      <c r="D60" s="21"/>
      <c r="E60" s="21"/>
      <c r="F60" s="21"/>
      <c r="G60" s="21"/>
      <c r="H60" s="21"/>
      <c r="I60" s="21"/>
      <c r="J60" s="3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row>
    <row r="61" spans="1:64" ht="15.75" customHeight="1">
      <c r="A61" s="21"/>
      <c r="B61" s="21"/>
      <c r="C61" s="21"/>
      <c r="D61" s="21"/>
      <c r="E61" s="21"/>
      <c r="F61" s="21"/>
      <c r="G61" s="21"/>
      <c r="H61" s="21"/>
      <c r="I61" s="21"/>
      <c r="J61" s="3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row>
    <row r="62" spans="1:64" ht="15.75" customHeight="1">
      <c r="A62" s="21"/>
      <c r="B62" s="21"/>
      <c r="C62" s="21"/>
      <c r="D62" s="21"/>
      <c r="E62" s="21"/>
      <c r="F62" s="21"/>
      <c r="G62" s="21"/>
      <c r="H62" s="21"/>
      <c r="I62" s="21"/>
      <c r="J62" s="3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row>
    <row r="63" spans="1:64" ht="15.75" customHeight="1">
      <c r="A63" s="21"/>
      <c r="B63" s="21"/>
      <c r="C63" s="21"/>
      <c r="D63" s="21"/>
      <c r="E63" s="21"/>
      <c r="F63" s="21"/>
      <c r="G63" s="21"/>
      <c r="H63" s="21"/>
      <c r="I63" s="21"/>
      <c r="J63" s="3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row>
    <row r="64" spans="1:64" ht="15.75" customHeight="1">
      <c r="A64" s="21"/>
      <c r="B64" s="21"/>
      <c r="C64" s="21"/>
      <c r="D64" s="21"/>
      <c r="E64" s="21"/>
      <c r="F64" s="21"/>
      <c r="G64" s="21"/>
      <c r="H64" s="21"/>
      <c r="I64" s="21"/>
      <c r="J64" s="3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row>
    <row r="65" spans="1:64" ht="15.75" customHeight="1">
      <c r="A65" s="21"/>
      <c r="B65" s="21"/>
      <c r="C65" s="21"/>
      <c r="D65" s="21"/>
      <c r="E65" s="21"/>
      <c r="F65" s="21"/>
      <c r="G65" s="21"/>
      <c r="H65" s="21"/>
      <c r="I65" s="21"/>
      <c r="J65" s="3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row>
    <row r="66" spans="1:64" ht="15.75" customHeight="1">
      <c r="A66" s="21"/>
      <c r="B66" s="21"/>
      <c r="C66" s="21"/>
      <c r="D66" s="21"/>
      <c r="E66" s="21"/>
      <c r="F66" s="21"/>
      <c r="G66" s="21"/>
      <c r="H66" s="21"/>
      <c r="I66" s="21"/>
      <c r="J66" s="3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row>
    <row r="67" spans="1:64" ht="15.75" customHeight="1">
      <c r="A67" s="21"/>
      <c r="B67" s="21"/>
      <c r="C67" s="21"/>
      <c r="D67" s="21"/>
      <c r="E67" s="21"/>
      <c r="F67" s="21"/>
      <c r="G67" s="21"/>
      <c r="H67" s="21"/>
      <c r="I67" s="21"/>
      <c r="J67" s="3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row>
    <row r="68" spans="1:64" ht="15.75" customHeight="1">
      <c r="A68" s="21"/>
      <c r="B68" s="21"/>
      <c r="C68" s="21"/>
      <c r="D68" s="21"/>
      <c r="E68" s="21"/>
      <c r="F68" s="21"/>
      <c r="G68" s="21"/>
      <c r="H68" s="21"/>
      <c r="I68" s="21"/>
      <c r="J68" s="3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row>
    <row r="69" spans="1:64" ht="15.75" customHeight="1">
      <c r="A69" s="21"/>
      <c r="B69" s="21"/>
      <c r="C69" s="21"/>
      <c r="D69" s="21"/>
      <c r="E69" s="21"/>
      <c r="F69" s="21"/>
      <c r="G69" s="21"/>
      <c r="H69" s="21"/>
      <c r="I69" s="21"/>
      <c r="J69" s="3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row>
    <row r="70" spans="1:64" ht="15.75" customHeight="1">
      <c r="A70" s="21"/>
      <c r="B70" s="21"/>
      <c r="C70" s="21"/>
      <c r="D70" s="21"/>
      <c r="E70" s="21"/>
      <c r="F70" s="21"/>
      <c r="G70" s="21"/>
      <c r="H70" s="21"/>
      <c r="I70" s="21"/>
      <c r="J70" s="3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row>
    <row r="71" spans="1:64" ht="15.75" customHeight="1">
      <c r="A71" s="21"/>
      <c r="B71" s="21"/>
      <c r="C71" s="21"/>
      <c r="D71" s="21"/>
      <c r="E71" s="21"/>
      <c r="F71" s="21"/>
      <c r="G71" s="21"/>
      <c r="H71" s="21"/>
      <c r="I71" s="21"/>
      <c r="J71" s="3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row>
    <row r="72" spans="1:64" ht="15.75" customHeight="1">
      <c r="A72" s="21"/>
      <c r="B72" s="21"/>
      <c r="C72" s="21"/>
      <c r="D72" s="21"/>
      <c r="E72" s="21"/>
      <c r="F72" s="21"/>
      <c r="G72" s="21"/>
      <c r="H72" s="21"/>
      <c r="I72" s="21"/>
      <c r="J72" s="3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row>
    <row r="73" spans="1:64" ht="15.75" customHeight="1">
      <c r="A73" s="21"/>
      <c r="B73" s="21"/>
      <c r="C73" s="21"/>
      <c r="D73" s="21"/>
      <c r="E73" s="21"/>
      <c r="F73" s="21"/>
      <c r="G73" s="21"/>
      <c r="H73" s="21"/>
      <c r="I73" s="21"/>
      <c r="J73" s="3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row>
    <row r="74" spans="1:64" ht="15.75" customHeight="1">
      <c r="A74" s="21"/>
      <c r="B74" s="21"/>
      <c r="C74" s="21"/>
      <c r="D74" s="21"/>
      <c r="E74" s="21"/>
      <c r="F74" s="21"/>
      <c r="G74" s="21"/>
      <c r="H74" s="21"/>
      <c r="I74" s="21"/>
      <c r="J74" s="3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row>
    <row r="75" spans="1:64" ht="15.75" customHeight="1">
      <c r="A75" s="21"/>
      <c r="B75" s="21"/>
      <c r="C75" s="21"/>
      <c r="D75" s="21"/>
      <c r="E75" s="21"/>
      <c r="F75" s="21"/>
      <c r="G75" s="21"/>
      <c r="H75" s="21"/>
      <c r="I75" s="21"/>
      <c r="J75" s="3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row>
    <row r="76" spans="1:64" ht="15.75" customHeight="1">
      <c r="A76" s="21"/>
      <c r="B76" s="21"/>
      <c r="C76" s="21"/>
      <c r="D76" s="21"/>
      <c r="E76" s="21"/>
      <c r="F76" s="21"/>
      <c r="G76" s="21"/>
      <c r="H76" s="21"/>
      <c r="I76" s="21"/>
      <c r="J76" s="3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row>
    <row r="77" spans="1:64" ht="15.75" customHeight="1">
      <c r="A77" s="21"/>
      <c r="B77" s="21"/>
      <c r="C77" s="21"/>
      <c r="D77" s="21"/>
      <c r="E77" s="21"/>
      <c r="F77" s="21"/>
      <c r="G77" s="21"/>
      <c r="H77" s="21"/>
      <c r="I77" s="21"/>
      <c r="J77" s="3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row>
    <row r="78" spans="1:64" ht="15.75" customHeight="1">
      <c r="A78" s="21"/>
      <c r="B78" s="21"/>
      <c r="C78" s="21"/>
      <c r="D78" s="21"/>
      <c r="E78" s="21"/>
      <c r="F78" s="21"/>
      <c r="G78" s="21"/>
      <c r="H78" s="21"/>
      <c r="I78" s="21"/>
      <c r="J78" s="3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row>
    <row r="79" spans="1:64" ht="15.75" customHeight="1">
      <c r="A79" s="21"/>
      <c r="B79" s="21"/>
      <c r="C79" s="21"/>
      <c r="D79" s="21"/>
      <c r="E79" s="21"/>
      <c r="F79" s="21"/>
      <c r="G79" s="21"/>
      <c r="H79" s="21"/>
      <c r="I79" s="21"/>
      <c r="J79" s="3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row>
    <row r="80" spans="1:64" ht="15.75" customHeight="1">
      <c r="A80" s="21"/>
      <c r="B80" s="21"/>
      <c r="C80" s="21"/>
      <c r="D80" s="21"/>
      <c r="E80" s="21"/>
      <c r="F80" s="21"/>
      <c r="G80" s="21"/>
      <c r="H80" s="21"/>
      <c r="I80" s="21"/>
      <c r="J80" s="3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row>
    <row r="81" spans="1:64" ht="15.75" customHeight="1">
      <c r="A81" s="21"/>
      <c r="B81" s="21"/>
      <c r="C81" s="21"/>
      <c r="D81" s="21"/>
      <c r="E81" s="21"/>
      <c r="F81" s="21"/>
      <c r="G81" s="21"/>
      <c r="H81" s="21"/>
      <c r="I81" s="21"/>
      <c r="J81" s="3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row>
    <row r="82" spans="1:64" ht="15.75" customHeight="1">
      <c r="A82" s="21"/>
      <c r="B82" s="21"/>
      <c r="C82" s="21"/>
      <c r="D82" s="21"/>
      <c r="E82" s="21"/>
      <c r="F82" s="21"/>
      <c r="G82" s="21"/>
      <c r="H82" s="21"/>
      <c r="I82" s="21"/>
      <c r="J82" s="3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row>
    <row r="83" spans="1:64" ht="15.75" customHeight="1">
      <c r="A83" s="21"/>
      <c r="B83" s="21"/>
      <c r="C83" s="21"/>
      <c r="D83" s="21"/>
      <c r="E83" s="21"/>
      <c r="F83" s="21"/>
      <c r="G83" s="21"/>
      <c r="H83" s="21"/>
      <c r="I83" s="21"/>
      <c r="J83" s="3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row>
    <row r="84" spans="1:64" ht="15.75" customHeight="1">
      <c r="A84" s="21"/>
      <c r="B84" s="21"/>
      <c r="C84" s="21"/>
      <c r="D84" s="21"/>
      <c r="E84" s="21"/>
      <c r="F84" s="21"/>
      <c r="G84" s="21"/>
      <c r="H84" s="21"/>
      <c r="I84" s="21"/>
      <c r="J84" s="3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row>
    <row r="85" spans="1:64" ht="15.75" customHeight="1">
      <c r="A85" s="21"/>
      <c r="B85" s="21"/>
      <c r="C85" s="21"/>
      <c r="D85" s="21"/>
      <c r="E85" s="21"/>
      <c r="F85" s="21"/>
      <c r="G85" s="21"/>
      <c r="H85" s="21"/>
      <c r="I85" s="21"/>
      <c r="J85" s="3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row>
    <row r="86" spans="1:64" ht="15.75" customHeight="1">
      <c r="A86" s="21"/>
      <c r="B86" s="21"/>
      <c r="C86" s="21"/>
      <c r="D86" s="21"/>
      <c r="E86" s="21"/>
      <c r="F86" s="21"/>
      <c r="G86" s="21"/>
      <c r="H86" s="21"/>
      <c r="I86" s="21"/>
      <c r="J86" s="3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row>
    <row r="87" spans="1:64" ht="15.75" customHeight="1">
      <c r="A87" s="21"/>
      <c r="B87" s="21"/>
      <c r="C87" s="21"/>
      <c r="D87" s="21"/>
      <c r="E87" s="21"/>
      <c r="F87" s="21"/>
      <c r="G87" s="21"/>
      <c r="H87" s="21"/>
      <c r="I87" s="21"/>
      <c r="J87" s="3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row>
    <row r="88" spans="1:64" ht="15.75" customHeight="1">
      <c r="A88" s="21"/>
      <c r="B88" s="21"/>
      <c r="C88" s="21"/>
      <c r="D88" s="21"/>
      <c r="E88" s="21"/>
      <c r="F88" s="21"/>
      <c r="G88" s="21"/>
      <c r="H88" s="21"/>
      <c r="I88" s="21"/>
      <c r="J88" s="3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row>
    <row r="89" spans="1:64" ht="15.75" customHeight="1">
      <c r="A89" s="21"/>
      <c r="B89" s="21"/>
      <c r="C89" s="21"/>
      <c r="D89" s="21"/>
      <c r="E89" s="21"/>
      <c r="F89" s="21"/>
      <c r="G89" s="21"/>
      <c r="H89" s="21"/>
      <c r="I89" s="21"/>
      <c r="J89" s="3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row>
    <row r="90" spans="1:64" ht="15.75" customHeight="1">
      <c r="A90" s="21"/>
      <c r="B90" s="21"/>
      <c r="C90" s="21"/>
      <c r="D90" s="21"/>
      <c r="E90" s="21"/>
      <c r="F90" s="21"/>
      <c r="G90" s="21"/>
      <c r="H90" s="21"/>
      <c r="I90" s="21"/>
      <c r="J90" s="3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row>
    <row r="91" spans="1:64" ht="15.75" customHeight="1">
      <c r="A91" s="21"/>
      <c r="B91" s="21"/>
      <c r="C91" s="21"/>
      <c r="D91" s="21"/>
      <c r="E91" s="21"/>
      <c r="F91" s="21"/>
      <c r="G91" s="21"/>
      <c r="H91" s="21"/>
      <c r="I91" s="21"/>
      <c r="J91" s="3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row>
    <row r="92" spans="1:64" ht="15.75" customHeight="1">
      <c r="A92" s="21"/>
      <c r="B92" s="21"/>
      <c r="C92" s="21"/>
      <c r="D92" s="21"/>
      <c r="E92" s="21"/>
      <c r="F92" s="21"/>
      <c r="G92" s="21"/>
      <c r="H92" s="21"/>
      <c r="I92" s="21"/>
      <c r="J92" s="3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row>
    <row r="93" spans="1:64" ht="15.75" customHeight="1">
      <c r="A93" s="21"/>
      <c r="B93" s="21"/>
      <c r="C93" s="21"/>
      <c r="D93" s="21"/>
      <c r="E93" s="21"/>
      <c r="F93" s="21"/>
      <c r="G93" s="21"/>
      <c r="H93" s="21"/>
      <c r="I93" s="21"/>
      <c r="J93" s="3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row>
    <row r="94" spans="1:64" ht="15.75" customHeight="1">
      <c r="A94" s="21"/>
      <c r="B94" s="21"/>
      <c r="C94" s="21"/>
      <c r="D94" s="21"/>
      <c r="E94" s="21"/>
      <c r="F94" s="21"/>
      <c r="G94" s="21"/>
      <c r="H94" s="21"/>
      <c r="I94" s="21"/>
      <c r="J94" s="3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row>
    <row r="95" spans="1:64" ht="15.75" customHeight="1">
      <c r="A95" s="21"/>
      <c r="B95" s="21"/>
      <c r="C95" s="21"/>
      <c r="D95" s="21"/>
      <c r="E95" s="21"/>
      <c r="F95" s="21"/>
      <c r="G95" s="21"/>
      <c r="H95" s="21"/>
      <c r="I95" s="21"/>
      <c r="J95" s="3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row>
    <row r="96" spans="1:64" ht="15.75" customHeight="1">
      <c r="A96" s="21"/>
      <c r="B96" s="21"/>
      <c r="C96" s="21"/>
      <c r="D96" s="21"/>
      <c r="E96" s="21"/>
      <c r="F96" s="21"/>
      <c r="G96" s="21"/>
      <c r="H96" s="21"/>
      <c r="I96" s="21"/>
      <c r="J96" s="3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row>
    <row r="97" spans="1:64" ht="15.75" customHeight="1">
      <c r="A97" s="21"/>
      <c r="B97" s="21"/>
      <c r="C97" s="21"/>
      <c r="D97" s="21"/>
      <c r="E97" s="21"/>
      <c r="F97" s="21"/>
      <c r="G97" s="21"/>
      <c r="H97" s="21"/>
      <c r="I97" s="21"/>
      <c r="J97" s="3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row>
    <row r="98" spans="1:64" ht="15.75" customHeight="1">
      <c r="A98" s="21"/>
      <c r="B98" s="21"/>
      <c r="C98" s="21"/>
      <c r="D98" s="21"/>
      <c r="E98" s="21"/>
      <c r="F98" s="21"/>
      <c r="G98" s="21"/>
      <c r="H98" s="21"/>
      <c r="I98" s="21"/>
      <c r="J98" s="3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row>
    <row r="99" spans="1:64" ht="15.75" customHeight="1">
      <c r="A99" s="21"/>
      <c r="B99" s="21"/>
      <c r="C99" s="21"/>
      <c r="D99" s="21"/>
      <c r="E99" s="21"/>
      <c r="F99" s="21"/>
      <c r="G99" s="21"/>
      <c r="H99" s="21"/>
      <c r="I99" s="21"/>
      <c r="J99" s="3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row>
    <row r="100" spans="1:64" ht="15.75" customHeight="1">
      <c r="A100" s="21"/>
      <c r="B100" s="21"/>
      <c r="C100" s="21"/>
      <c r="D100" s="21"/>
      <c r="E100" s="21"/>
      <c r="F100" s="21"/>
      <c r="G100" s="21"/>
      <c r="H100" s="21"/>
      <c r="I100" s="21"/>
      <c r="J100" s="3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row>
    <row r="101" spans="1:64" ht="15.75" customHeight="1">
      <c r="A101" s="21"/>
      <c r="B101" s="21"/>
      <c r="C101" s="21"/>
      <c r="D101" s="21"/>
      <c r="E101" s="21"/>
      <c r="F101" s="21"/>
      <c r="G101" s="21"/>
      <c r="H101" s="21"/>
      <c r="I101" s="21"/>
      <c r="J101" s="3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row>
    <row r="102" spans="1:64" ht="15.75" customHeight="1">
      <c r="A102" s="21"/>
      <c r="B102" s="21"/>
      <c r="C102" s="21"/>
      <c r="D102" s="21"/>
      <c r="E102" s="21"/>
      <c r="F102" s="21"/>
      <c r="G102" s="21"/>
      <c r="H102" s="21"/>
      <c r="I102" s="21"/>
      <c r="J102" s="3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row>
    <row r="103" spans="1:64" ht="15.75" customHeight="1">
      <c r="A103" s="21"/>
      <c r="B103" s="21"/>
      <c r="C103" s="21"/>
      <c r="D103" s="21"/>
      <c r="E103" s="21"/>
      <c r="F103" s="21"/>
      <c r="G103" s="21"/>
      <c r="H103" s="21"/>
      <c r="I103" s="21"/>
      <c r="J103" s="3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row>
    <row r="104" spans="1:64" ht="15.75" customHeight="1">
      <c r="A104" s="21"/>
      <c r="B104" s="21"/>
      <c r="C104" s="21"/>
      <c r="D104" s="21"/>
      <c r="E104" s="21"/>
      <c r="F104" s="21"/>
      <c r="G104" s="21"/>
      <c r="H104" s="21"/>
      <c r="I104" s="21"/>
      <c r="J104" s="3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row>
    <row r="105" spans="1:64" ht="15.75" customHeight="1">
      <c r="A105" s="21"/>
      <c r="B105" s="21"/>
      <c r="C105" s="21"/>
      <c r="D105" s="21"/>
      <c r="E105" s="21"/>
      <c r="F105" s="21"/>
      <c r="G105" s="21"/>
      <c r="H105" s="21"/>
      <c r="I105" s="21"/>
      <c r="J105" s="3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row>
    <row r="106" spans="1:64" ht="15.75" customHeight="1">
      <c r="A106" s="21"/>
      <c r="B106" s="21"/>
      <c r="C106" s="21"/>
      <c r="D106" s="21"/>
      <c r="E106" s="21"/>
      <c r="F106" s="21"/>
      <c r="G106" s="21"/>
      <c r="H106" s="21"/>
      <c r="I106" s="21"/>
      <c r="J106" s="3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row>
    <row r="107" spans="1:64" ht="15.75" customHeight="1">
      <c r="A107" s="21"/>
      <c r="B107" s="21"/>
      <c r="C107" s="21"/>
      <c r="D107" s="21"/>
      <c r="E107" s="21"/>
      <c r="F107" s="21"/>
      <c r="G107" s="21"/>
      <c r="H107" s="21"/>
      <c r="I107" s="21"/>
      <c r="J107" s="3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row>
    <row r="108" spans="1:64" ht="15.75" customHeight="1">
      <c r="A108" s="21"/>
      <c r="B108" s="21"/>
      <c r="C108" s="21"/>
      <c r="D108" s="21"/>
      <c r="E108" s="21"/>
      <c r="F108" s="21"/>
      <c r="G108" s="21"/>
      <c r="H108" s="21"/>
      <c r="I108" s="21"/>
      <c r="J108" s="3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row>
    <row r="109" spans="1:64" ht="15.75" customHeight="1">
      <c r="A109" s="21"/>
      <c r="B109" s="21"/>
      <c r="C109" s="21"/>
      <c r="D109" s="21"/>
      <c r="E109" s="21"/>
      <c r="F109" s="21"/>
      <c r="G109" s="21"/>
      <c r="H109" s="21"/>
      <c r="I109" s="21"/>
      <c r="J109" s="3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row>
    <row r="110" spans="1:64" ht="15.75" customHeight="1">
      <c r="A110" s="21"/>
      <c r="B110" s="21"/>
      <c r="C110" s="21"/>
      <c r="D110" s="21"/>
      <c r="E110" s="21"/>
      <c r="F110" s="21"/>
      <c r="G110" s="21"/>
      <c r="H110" s="21"/>
      <c r="I110" s="21"/>
      <c r="J110" s="3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row>
    <row r="111" spans="1:64" ht="15.75" customHeight="1">
      <c r="A111" s="21"/>
      <c r="B111" s="21"/>
      <c r="C111" s="21"/>
      <c r="D111" s="21"/>
      <c r="E111" s="21"/>
      <c r="F111" s="21"/>
      <c r="G111" s="21"/>
      <c r="H111" s="21"/>
      <c r="I111" s="21"/>
      <c r="J111" s="3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row>
    <row r="112" spans="1:64" ht="15.75" customHeight="1">
      <c r="A112" s="21"/>
      <c r="B112" s="21"/>
      <c r="C112" s="21"/>
      <c r="D112" s="21"/>
      <c r="E112" s="21"/>
      <c r="F112" s="21"/>
      <c r="G112" s="21"/>
      <c r="H112" s="21"/>
      <c r="I112" s="21"/>
      <c r="J112" s="3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row>
    <row r="113" spans="1:64" ht="15.75" customHeight="1">
      <c r="A113" s="21"/>
      <c r="B113" s="21"/>
      <c r="C113" s="21"/>
      <c r="D113" s="21"/>
      <c r="E113" s="21"/>
      <c r="F113" s="21"/>
      <c r="G113" s="21"/>
      <c r="H113" s="21"/>
      <c r="I113" s="21"/>
      <c r="J113" s="3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row>
    <row r="114" spans="1:64" ht="15.75" customHeight="1">
      <c r="A114" s="21"/>
      <c r="B114" s="21"/>
      <c r="C114" s="21"/>
      <c r="D114" s="21"/>
      <c r="E114" s="21"/>
      <c r="F114" s="21"/>
      <c r="G114" s="21"/>
      <c r="H114" s="21"/>
      <c r="I114" s="21"/>
      <c r="J114" s="3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row>
    <row r="115" spans="1:64" ht="15.75" customHeight="1">
      <c r="A115" s="21"/>
      <c r="B115" s="21"/>
      <c r="C115" s="21"/>
      <c r="D115" s="21"/>
      <c r="E115" s="21"/>
      <c r="F115" s="21"/>
      <c r="G115" s="21"/>
      <c r="H115" s="21"/>
      <c r="I115" s="21"/>
      <c r="J115" s="3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row>
    <row r="116" spans="1:64" ht="15.75" customHeight="1">
      <c r="A116" s="21"/>
      <c r="B116" s="21"/>
      <c r="C116" s="21"/>
      <c r="D116" s="21"/>
      <c r="E116" s="21"/>
      <c r="F116" s="21"/>
      <c r="G116" s="21"/>
      <c r="H116" s="21"/>
      <c r="I116" s="21"/>
      <c r="J116" s="3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row>
    <row r="117" spans="1:64" ht="15.75" customHeight="1">
      <c r="A117" s="21"/>
      <c r="B117" s="21"/>
      <c r="C117" s="21"/>
      <c r="D117" s="21"/>
      <c r="E117" s="21"/>
      <c r="F117" s="21"/>
      <c r="G117" s="21"/>
      <c r="H117" s="21"/>
      <c r="I117" s="21"/>
      <c r="J117" s="3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row>
    <row r="118" spans="1:64" ht="15.75" customHeight="1">
      <c r="A118" s="21"/>
      <c r="B118" s="21"/>
      <c r="C118" s="21"/>
      <c r="D118" s="21"/>
      <c r="E118" s="21"/>
      <c r="F118" s="21"/>
      <c r="G118" s="21"/>
      <c r="H118" s="21"/>
      <c r="I118" s="21"/>
      <c r="J118" s="3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row>
    <row r="119" spans="1:64" ht="15.75" customHeight="1">
      <c r="A119" s="21"/>
      <c r="B119" s="21"/>
      <c r="C119" s="21"/>
      <c r="D119" s="21"/>
      <c r="E119" s="21"/>
      <c r="F119" s="21"/>
      <c r="G119" s="21"/>
      <c r="H119" s="21"/>
      <c r="I119" s="21"/>
      <c r="J119" s="3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row>
    <row r="120" spans="1:64" ht="15.75" customHeight="1">
      <c r="A120" s="21"/>
      <c r="B120" s="21"/>
      <c r="C120" s="21"/>
      <c r="D120" s="21"/>
      <c r="E120" s="21"/>
      <c r="F120" s="21"/>
      <c r="G120" s="21"/>
      <c r="H120" s="21"/>
      <c r="I120" s="21"/>
      <c r="J120" s="3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row>
    <row r="121" spans="1:64" ht="15.75" customHeight="1">
      <c r="A121" s="21"/>
      <c r="B121" s="21"/>
      <c r="C121" s="21"/>
      <c r="D121" s="21"/>
      <c r="E121" s="21"/>
      <c r="F121" s="21"/>
      <c r="G121" s="21"/>
      <c r="H121" s="21"/>
      <c r="I121" s="21"/>
      <c r="J121" s="3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row>
    <row r="122" spans="1:64" ht="15.75" customHeight="1">
      <c r="A122" s="21"/>
      <c r="B122" s="21"/>
      <c r="C122" s="21"/>
      <c r="D122" s="21"/>
      <c r="E122" s="21"/>
      <c r="F122" s="21"/>
      <c r="G122" s="21"/>
      <c r="H122" s="21"/>
      <c r="I122" s="21"/>
      <c r="J122" s="3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row>
    <row r="123" spans="1:64" ht="15.75" customHeight="1">
      <c r="A123" s="21"/>
      <c r="B123" s="21"/>
      <c r="C123" s="21"/>
      <c r="D123" s="21"/>
      <c r="E123" s="21"/>
      <c r="F123" s="21"/>
      <c r="G123" s="21"/>
      <c r="H123" s="21"/>
      <c r="I123" s="21"/>
      <c r="J123" s="3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row>
    <row r="124" spans="1:64" ht="15.75" customHeight="1">
      <c r="A124" s="21"/>
      <c r="B124" s="21"/>
      <c r="C124" s="21"/>
      <c r="D124" s="21"/>
      <c r="E124" s="21"/>
      <c r="F124" s="21"/>
      <c r="G124" s="21"/>
      <c r="H124" s="21"/>
      <c r="I124" s="21"/>
      <c r="J124" s="3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row>
    <row r="125" spans="1:64" ht="15.75" customHeight="1">
      <c r="A125" s="21"/>
      <c r="B125" s="21"/>
      <c r="C125" s="21"/>
      <c r="D125" s="21"/>
      <c r="E125" s="21"/>
      <c r="F125" s="21"/>
      <c r="G125" s="21"/>
      <c r="H125" s="21"/>
      <c r="I125" s="21"/>
      <c r="J125" s="3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row>
    <row r="126" spans="1:64" ht="15.75" customHeight="1">
      <c r="A126" s="21"/>
      <c r="B126" s="21"/>
      <c r="C126" s="21"/>
      <c r="D126" s="21"/>
      <c r="E126" s="21"/>
      <c r="F126" s="21"/>
      <c r="G126" s="21"/>
      <c r="H126" s="21"/>
      <c r="I126" s="21"/>
      <c r="J126" s="3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row>
    <row r="127" spans="1:64" ht="15.75" customHeight="1">
      <c r="A127" s="21"/>
      <c r="B127" s="21"/>
      <c r="C127" s="21"/>
      <c r="D127" s="21"/>
      <c r="E127" s="21"/>
      <c r="F127" s="21"/>
      <c r="G127" s="21"/>
      <c r="H127" s="21"/>
      <c r="I127" s="21"/>
      <c r="J127" s="3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row>
    <row r="128" spans="1:64" ht="15.75" customHeight="1">
      <c r="A128" s="21"/>
      <c r="B128" s="21"/>
      <c r="C128" s="21"/>
      <c r="D128" s="21"/>
      <c r="E128" s="21"/>
      <c r="F128" s="21"/>
      <c r="G128" s="21"/>
      <c r="H128" s="21"/>
      <c r="I128" s="21"/>
      <c r="J128" s="3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row>
    <row r="129" spans="1:64" ht="15.75" customHeight="1">
      <c r="A129" s="21"/>
      <c r="B129" s="21"/>
      <c r="C129" s="21"/>
      <c r="D129" s="21"/>
      <c r="E129" s="21"/>
      <c r="F129" s="21"/>
      <c r="G129" s="21"/>
      <c r="H129" s="21"/>
      <c r="I129" s="21"/>
      <c r="J129" s="3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row>
    <row r="130" spans="1:64" ht="15.75" customHeight="1">
      <c r="A130" s="21"/>
      <c r="B130" s="21"/>
      <c r="C130" s="21"/>
      <c r="D130" s="21"/>
      <c r="E130" s="21"/>
      <c r="F130" s="21"/>
      <c r="G130" s="21"/>
      <c r="H130" s="21"/>
      <c r="I130" s="21"/>
      <c r="J130" s="3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row>
    <row r="131" spans="1:64" ht="15.75" customHeight="1">
      <c r="A131" s="21"/>
      <c r="B131" s="21"/>
      <c r="C131" s="21"/>
      <c r="D131" s="21"/>
      <c r="E131" s="21"/>
      <c r="F131" s="21"/>
      <c r="G131" s="21"/>
      <c r="H131" s="21"/>
      <c r="I131" s="21"/>
      <c r="J131" s="3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row>
    <row r="132" spans="1:64" ht="15.75" customHeight="1">
      <c r="A132" s="21"/>
      <c r="B132" s="21"/>
      <c r="C132" s="21"/>
      <c r="D132" s="21"/>
      <c r="E132" s="21"/>
      <c r="F132" s="21"/>
      <c r="G132" s="21"/>
      <c r="H132" s="21"/>
      <c r="I132" s="21"/>
      <c r="J132" s="3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row>
    <row r="133" spans="1:64" ht="15.75" customHeight="1">
      <c r="A133" s="21"/>
      <c r="B133" s="21"/>
      <c r="C133" s="21"/>
      <c r="D133" s="21"/>
      <c r="E133" s="21"/>
      <c r="F133" s="21"/>
      <c r="G133" s="21"/>
      <c r="H133" s="21"/>
      <c r="I133" s="21"/>
      <c r="J133" s="3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row>
    <row r="134" spans="1:64" ht="15.75" customHeight="1">
      <c r="A134" s="21"/>
      <c r="B134" s="21"/>
      <c r="C134" s="21"/>
      <c r="D134" s="21"/>
      <c r="E134" s="21"/>
      <c r="F134" s="21"/>
      <c r="G134" s="21"/>
      <c r="H134" s="21"/>
      <c r="I134" s="21"/>
      <c r="J134" s="3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row>
    <row r="135" spans="1:64" ht="15.75" customHeight="1">
      <c r="A135" s="21"/>
      <c r="B135" s="21"/>
      <c r="C135" s="21"/>
      <c r="D135" s="21"/>
      <c r="E135" s="21"/>
      <c r="F135" s="21"/>
      <c r="G135" s="21"/>
      <c r="H135" s="21"/>
      <c r="I135" s="21"/>
      <c r="J135" s="3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row>
    <row r="136" spans="1:64" ht="15.75" customHeight="1">
      <c r="A136" s="21"/>
      <c r="B136" s="21"/>
      <c r="C136" s="21"/>
      <c r="D136" s="21"/>
      <c r="E136" s="21"/>
      <c r="F136" s="21"/>
      <c r="G136" s="21"/>
      <c r="H136" s="21"/>
      <c r="I136" s="21"/>
      <c r="J136" s="3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row>
    <row r="137" spans="1:64" ht="15.75" customHeight="1">
      <c r="A137" s="21"/>
      <c r="B137" s="21"/>
      <c r="C137" s="21"/>
      <c r="D137" s="21"/>
      <c r="E137" s="21"/>
      <c r="F137" s="21"/>
      <c r="G137" s="21"/>
      <c r="H137" s="21"/>
      <c r="I137" s="21"/>
      <c r="J137" s="3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row>
    <row r="138" spans="1:64" ht="15.75" customHeight="1">
      <c r="A138" s="21"/>
      <c r="B138" s="21"/>
      <c r="C138" s="21"/>
      <c r="D138" s="21"/>
      <c r="E138" s="21"/>
      <c r="F138" s="21"/>
      <c r="G138" s="21"/>
      <c r="H138" s="21"/>
      <c r="I138" s="21"/>
      <c r="J138" s="3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row>
    <row r="139" spans="1:64" ht="15.75" customHeight="1">
      <c r="A139" s="21"/>
      <c r="B139" s="21"/>
      <c r="C139" s="21"/>
      <c r="D139" s="21"/>
      <c r="E139" s="21"/>
      <c r="F139" s="21"/>
      <c r="G139" s="21"/>
      <c r="H139" s="21"/>
      <c r="I139" s="21"/>
      <c r="J139" s="3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row>
    <row r="140" spans="1:64" ht="15.75" customHeight="1">
      <c r="A140" s="21"/>
      <c r="B140" s="21"/>
      <c r="C140" s="21"/>
      <c r="D140" s="21"/>
      <c r="E140" s="21"/>
      <c r="F140" s="21"/>
      <c r="G140" s="21"/>
      <c r="H140" s="21"/>
      <c r="I140" s="21"/>
      <c r="J140" s="3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row>
    <row r="141" spans="1:64" ht="15.75" customHeight="1">
      <c r="A141" s="21"/>
      <c r="B141" s="21"/>
      <c r="C141" s="21"/>
      <c r="D141" s="21"/>
      <c r="E141" s="21"/>
      <c r="F141" s="21"/>
      <c r="G141" s="21"/>
      <c r="H141" s="21"/>
      <c r="I141" s="21"/>
      <c r="J141" s="3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row>
    <row r="142" spans="1:64" ht="15.75" customHeight="1">
      <c r="A142" s="21"/>
      <c r="B142" s="21"/>
      <c r="C142" s="21"/>
      <c r="D142" s="21"/>
      <c r="E142" s="21"/>
      <c r="F142" s="21"/>
      <c r="G142" s="21"/>
      <c r="H142" s="21"/>
      <c r="I142" s="21"/>
      <c r="J142" s="3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row>
    <row r="143" spans="1:64" ht="15.75" customHeight="1">
      <c r="A143" s="21"/>
      <c r="B143" s="21"/>
      <c r="C143" s="21"/>
      <c r="D143" s="21"/>
      <c r="E143" s="21"/>
      <c r="F143" s="21"/>
      <c r="G143" s="21"/>
      <c r="H143" s="21"/>
      <c r="I143" s="21"/>
      <c r="J143" s="3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row>
    <row r="144" spans="1:64" ht="15.75" customHeight="1">
      <c r="A144" s="21"/>
      <c r="B144" s="21"/>
      <c r="C144" s="21"/>
      <c r="D144" s="21"/>
      <c r="E144" s="21"/>
      <c r="F144" s="21"/>
      <c r="G144" s="21"/>
      <c r="H144" s="21"/>
      <c r="I144" s="21"/>
      <c r="J144" s="3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row>
    <row r="145" spans="1:64" ht="15.75" customHeight="1">
      <c r="A145" s="21"/>
      <c r="B145" s="21"/>
      <c r="C145" s="21"/>
      <c r="D145" s="21"/>
      <c r="E145" s="21"/>
      <c r="F145" s="21"/>
      <c r="G145" s="21"/>
      <c r="H145" s="21"/>
      <c r="I145" s="21"/>
      <c r="J145" s="3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row>
    <row r="146" spans="1:64" ht="15.75" customHeight="1">
      <c r="A146" s="21"/>
      <c r="B146" s="21"/>
      <c r="C146" s="21"/>
      <c r="D146" s="21"/>
      <c r="E146" s="21"/>
      <c r="F146" s="21"/>
      <c r="G146" s="21"/>
      <c r="H146" s="21"/>
      <c r="I146" s="21"/>
      <c r="J146" s="3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row>
    <row r="147" spans="1:64" ht="15.75" customHeight="1">
      <c r="A147" s="21"/>
      <c r="B147" s="21"/>
      <c r="C147" s="21"/>
      <c r="D147" s="21"/>
      <c r="E147" s="21"/>
      <c r="F147" s="21"/>
      <c r="G147" s="21"/>
      <c r="H147" s="21"/>
      <c r="I147" s="21"/>
      <c r="J147" s="3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row>
    <row r="148" spans="1:64" ht="15.75" customHeight="1">
      <c r="A148" s="21"/>
      <c r="B148" s="21"/>
      <c r="C148" s="21"/>
      <c r="D148" s="21"/>
      <c r="E148" s="21"/>
      <c r="F148" s="21"/>
      <c r="G148" s="21"/>
      <c r="H148" s="21"/>
      <c r="I148" s="21"/>
      <c r="J148" s="3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row>
    <row r="149" spans="1:64" ht="15.75" customHeight="1">
      <c r="A149" s="21"/>
      <c r="B149" s="21"/>
      <c r="C149" s="21"/>
      <c r="D149" s="21"/>
      <c r="E149" s="21"/>
      <c r="F149" s="21"/>
      <c r="G149" s="21"/>
      <c r="H149" s="21"/>
      <c r="I149" s="21"/>
      <c r="J149" s="3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row>
    <row r="150" spans="1:64" ht="15.75" customHeight="1">
      <c r="A150" s="21"/>
      <c r="B150" s="21"/>
      <c r="C150" s="21"/>
      <c r="D150" s="21"/>
      <c r="E150" s="21"/>
      <c r="F150" s="21"/>
      <c r="G150" s="21"/>
      <c r="H150" s="21"/>
      <c r="I150" s="21"/>
      <c r="J150" s="3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row>
    <row r="151" spans="1:64" ht="15.75" customHeight="1">
      <c r="A151" s="21"/>
      <c r="B151" s="21"/>
      <c r="C151" s="21"/>
      <c r="D151" s="21"/>
      <c r="E151" s="21"/>
      <c r="F151" s="21"/>
      <c r="G151" s="21"/>
      <c r="H151" s="21"/>
      <c r="I151" s="21"/>
      <c r="J151" s="3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row>
    <row r="152" spans="1:64" ht="15.75" customHeight="1">
      <c r="A152" s="21"/>
      <c r="B152" s="21"/>
      <c r="C152" s="21"/>
      <c r="D152" s="21"/>
      <c r="E152" s="21"/>
      <c r="F152" s="21"/>
      <c r="G152" s="21"/>
      <c r="H152" s="21"/>
      <c r="I152" s="21"/>
      <c r="J152" s="3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row>
    <row r="153" spans="1:64" ht="15.75" customHeight="1">
      <c r="A153" s="21"/>
      <c r="B153" s="21"/>
      <c r="C153" s="21"/>
      <c r="D153" s="21"/>
      <c r="E153" s="21"/>
      <c r="F153" s="21"/>
      <c r="G153" s="21"/>
      <c r="H153" s="21"/>
      <c r="I153" s="21"/>
      <c r="J153" s="3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row>
    <row r="154" spans="1:64" ht="15.75" customHeight="1">
      <c r="A154" s="21"/>
      <c r="B154" s="21"/>
      <c r="C154" s="21"/>
      <c r="D154" s="21"/>
      <c r="E154" s="21"/>
      <c r="F154" s="21"/>
      <c r="G154" s="21"/>
      <c r="H154" s="21"/>
      <c r="I154" s="21"/>
      <c r="J154" s="3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row>
    <row r="155" spans="1:64" ht="15.75" customHeight="1">
      <c r="A155" s="21"/>
      <c r="B155" s="21"/>
      <c r="C155" s="21"/>
      <c r="D155" s="21"/>
      <c r="E155" s="21"/>
      <c r="F155" s="21"/>
      <c r="G155" s="21"/>
      <c r="H155" s="21"/>
      <c r="I155" s="21"/>
      <c r="J155" s="3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row>
    <row r="156" spans="1:64" ht="15.75" customHeight="1">
      <c r="A156" s="21"/>
      <c r="B156" s="21"/>
      <c r="C156" s="21"/>
      <c r="D156" s="21"/>
      <c r="E156" s="21"/>
      <c r="F156" s="21"/>
      <c r="G156" s="21"/>
      <c r="H156" s="21"/>
      <c r="I156" s="21"/>
      <c r="J156" s="3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row>
    <row r="157" spans="1:64" ht="15.75" customHeight="1">
      <c r="A157" s="21"/>
      <c r="B157" s="21"/>
      <c r="C157" s="21"/>
      <c r="D157" s="21"/>
      <c r="E157" s="21"/>
      <c r="F157" s="21"/>
      <c r="G157" s="21"/>
      <c r="H157" s="21"/>
      <c r="I157" s="21"/>
      <c r="J157" s="3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row>
    <row r="158" spans="1:64" ht="15.75" customHeight="1">
      <c r="A158" s="21"/>
      <c r="B158" s="21"/>
      <c r="C158" s="21"/>
      <c r="D158" s="21"/>
      <c r="E158" s="21"/>
      <c r="F158" s="21"/>
      <c r="G158" s="21"/>
      <c r="H158" s="21"/>
      <c r="I158" s="21"/>
      <c r="J158" s="3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row>
    <row r="159" spans="1:64" ht="15.75" customHeight="1">
      <c r="A159" s="21"/>
      <c r="B159" s="21"/>
      <c r="C159" s="21"/>
      <c r="D159" s="21"/>
      <c r="E159" s="21"/>
      <c r="F159" s="21"/>
      <c r="G159" s="21"/>
      <c r="H159" s="21"/>
      <c r="I159" s="21"/>
      <c r="J159" s="3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row>
    <row r="160" spans="1:64" ht="15.75" customHeight="1">
      <c r="A160" s="21"/>
      <c r="B160" s="21"/>
      <c r="C160" s="21"/>
      <c r="D160" s="21"/>
      <c r="E160" s="21"/>
      <c r="F160" s="21"/>
      <c r="G160" s="21"/>
      <c r="H160" s="21"/>
      <c r="I160" s="21"/>
      <c r="J160" s="3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row>
    <row r="161" spans="1:64" ht="15.75" customHeight="1">
      <c r="A161" s="21"/>
      <c r="B161" s="21"/>
      <c r="C161" s="21"/>
      <c r="D161" s="21"/>
      <c r="E161" s="21"/>
      <c r="F161" s="21"/>
      <c r="G161" s="21"/>
      <c r="H161" s="21"/>
      <c r="I161" s="21"/>
      <c r="J161" s="3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row>
    <row r="162" spans="1:64" ht="15.75" customHeight="1">
      <c r="A162" s="21"/>
      <c r="B162" s="21"/>
      <c r="C162" s="21"/>
      <c r="D162" s="21"/>
      <c r="E162" s="21"/>
      <c r="F162" s="21"/>
      <c r="G162" s="21"/>
      <c r="H162" s="21"/>
      <c r="I162" s="21"/>
      <c r="J162" s="3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row>
    <row r="163" spans="1:64" ht="15.75" customHeight="1">
      <c r="A163" s="21"/>
      <c r="B163" s="21"/>
      <c r="C163" s="21"/>
      <c r="D163" s="21"/>
      <c r="E163" s="21"/>
      <c r="F163" s="21"/>
      <c r="G163" s="21"/>
      <c r="H163" s="21"/>
      <c r="I163" s="21"/>
      <c r="J163" s="3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row>
    <row r="164" spans="1:64" ht="15.75" customHeight="1">
      <c r="A164" s="21"/>
      <c r="B164" s="21"/>
      <c r="C164" s="21"/>
      <c r="D164" s="21"/>
      <c r="E164" s="21"/>
      <c r="F164" s="21"/>
      <c r="G164" s="21"/>
      <c r="H164" s="21"/>
      <c r="I164" s="21"/>
      <c r="J164" s="3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row>
    <row r="165" spans="1:64" ht="15.75" customHeight="1">
      <c r="A165" s="21"/>
      <c r="B165" s="21"/>
      <c r="C165" s="21"/>
      <c r="D165" s="21"/>
      <c r="E165" s="21"/>
      <c r="F165" s="21"/>
      <c r="G165" s="21"/>
      <c r="H165" s="21"/>
      <c r="I165" s="21"/>
      <c r="J165" s="3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row>
    <row r="166" spans="1:64" ht="15.75" customHeight="1">
      <c r="A166" s="21"/>
      <c r="B166" s="21"/>
      <c r="C166" s="21"/>
      <c r="D166" s="21"/>
      <c r="E166" s="21"/>
      <c r="F166" s="21"/>
      <c r="G166" s="21"/>
      <c r="H166" s="21"/>
      <c r="I166" s="21"/>
      <c r="J166" s="3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row>
    <row r="167" spans="1:64" ht="15.75" customHeight="1">
      <c r="A167" s="21"/>
      <c r="B167" s="21"/>
      <c r="C167" s="21"/>
      <c r="D167" s="21"/>
      <c r="E167" s="21"/>
      <c r="F167" s="21"/>
      <c r="G167" s="21"/>
      <c r="H167" s="21"/>
      <c r="I167" s="21"/>
      <c r="J167" s="3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row>
    <row r="168" spans="1:64" ht="15.75" customHeight="1">
      <c r="A168" s="21"/>
      <c r="B168" s="21"/>
      <c r="C168" s="21"/>
      <c r="D168" s="21"/>
      <c r="E168" s="21"/>
      <c r="F168" s="21"/>
      <c r="G168" s="21"/>
      <c r="H168" s="21"/>
      <c r="I168" s="21"/>
      <c r="J168" s="3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row>
    <row r="169" spans="1:64" ht="15.75" customHeight="1">
      <c r="A169" s="21"/>
      <c r="B169" s="21"/>
      <c r="C169" s="21"/>
      <c r="D169" s="21"/>
      <c r="E169" s="21"/>
      <c r="F169" s="21"/>
      <c r="G169" s="21"/>
      <c r="H169" s="21"/>
      <c r="I169" s="21"/>
      <c r="J169" s="3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row>
    <row r="170" spans="1:64" ht="15.75" customHeight="1">
      <c r="A170" s="21"/>
      <c r="B170" s="21"/>
      <c r="C170" s="21"/>
      <c r="D170" s="21"/>
      <c r="E170" s="21"/>
      <c r="F170" s="21"/>
      <c r="G170" s="21"/>
      <c r="H170" s="21"/>
      <c r="I170" s="21"/>
      <c r="J170" s="3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row>
    <row r="171" spans="1:64" ht="15.75" customHeight="1">
      <c r="A171" s="21"/>
      <c r="B171" s="21"/>
      <c r="C171" s="21"/>
      <c r="D171" s="21"/>
      <c r="E171" s="21"/>
      <c r="F171" s="21"/>
      <c r="G171" s="21"/>
      <c r="H171" s="21"/>
      <c r="I171" s="21"/>
      <c r="J171" s="3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row>
    <row r="172" spans="1:64" ht="15.75" customHeight="1">
      <c r="A172" s="21"/>
      <c r="B172" s="21"/>
      <c r="C172" s="21"/>
      <c r="D172" s="21"/>
      <c r="E172" s="21"/>
      <c r="F172" s="21"/>
      <c r="G172" s="21"/>
      <c r="H172" s="21"/>
      <c r="I172" s="21"/>
      <c r="J172" s="3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row>
    <row r="173" spans="1:64" ht="15.75" customHeight="1">
      <c r="A173" s="21"/>
      <c r="B173" s="21"/>
      <c r="C173" s="21"/>
      <c r="D173" s="21"/>
      <c r="E173" s="21"/>
      <c r="F173" s="21"/>
      <c r="G173" s="21"/>
      <c r="H173" s="21"/>
      <c r="I173" s="21"/>
      <c r="J173" s="3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row>
    <row r="174" spans="1:64" ht="15.75" customHeight="1">
      <c r="A174" s="21"/>
      <c r="B174" s="21"/>
      <c r="C174" s="21"/>
      <c r="D174" s="21"/>
      <c r="E174" s="21"/>
      <c r="F174" s="21"/>
      <c r="G174" s="21"/>
      <c r="H174" s="21"/>
      <c r="I174" s="21"/>
      <c r="J174" s="3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row>
    <row r="175" spans="1:64" ht="15.75" customHeight="1">
      <c r="A175" s="21"/>
      <c r="B175" s="21"/>
      <c r="C175" s="21"/>
      <c r="D175" s="21"/>
      <c r="E175" s="21"/>
      <c r="F175" s="21"/>
      <c r="G175" s="21"/>
      <c r="H175" s="21"/>
      <c r="I175" s="21"/>
      <c r="J175" s="3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row>
    <row r="176" spans="1:64" ht="15.75" customHeight="1">
      <c r="A176" s="21"/>
      <c r="B176" s="21"/>
      <c r="C176" s="21"/>
      <c r="D176" s="21"/>
      <c r="E176" s="21"/>
      <c r="F176" s="21"/>
      <c r="G176" s="21"/>
      <c r="H176" s="21"/>
      <c r="I176" s="21"/>
      <c r="J176" s="3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row>
    <row r="177" spans="1:64" ht="15.75" customHeight="1">
      <c r="A177" s="21"/>
      <c r="B177" s="21"/>
      <c r="C177" s="21"/>
      <c r="D177" s="21"/>
      <c r="E177" s="21"/>
      <c r="F177" s="21"/>
      <c r="G177" s="21"/>
      <c r="H177" s="21"/>
      <c r="I177" s="21"/>
      <c r="J177" s="3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row>
    <row r="178" spans="1:64" ht="15.75" customHeight="1">
      <c r="A178" s="21"/>
      <c r="B178" s="21"/>
      <c r="C178" s="21"/>
      <c r="D178" s="21"/>
      <c r="E178" s="21"/>
      <c r="F178" s="21"/>
      <c r="G178" s="21"/>
      <c r="H178" s="21"/>
      <c r="I178" s="21"/>
      <c r="J178" s="3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row>
    <row r="179" spans="1:64" ht="15.75" customHeight="1">
      <c r="A179" s="21"/>
      <c r="B179" s="21"/>
      <c r="C179" s="21"/>
      <c r="D179" s="21"/>
      <c r="E179" s="21"/>
      <c r="F179" s="21"/>
      <c r="G179" s="21"/>
      <c r="H179" s="21"/>
      <c r="I179" s="21"/>
      <c r="J179" s="3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row>
    <row r="180" spans="1:64" ht="15.75" customHeight="1">
      <c r="A180" s="21"/>
      <c r="B180" s="21"/>
      <c r="C180" s="21"/>
      <c r="D180" s="21"/>
      <c r="E180" s="21"/>
      <c r="F180" s="21"/>
      <c r="G180" s="21"/>
      <c r="H180" s="21"/>
      <c r="I180" s="21"/>
      <c r="J180" s="3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row>
    <row r="181" spans="1:64" ht="15.75" customHeight="1">
      <c r="A181" s="21"/>
      <c r="B181" s="21"/>
      <c r="C181" s="21"/>
      <c r="D181" s="21"/>
      <c r="E181" s="21"/>
      <c r="F181" s="21"/>
      <c r="G181" s="21"/>
      <c r="H181" s="21"/>
      <c r="I181" s="21"/>
      <c r="J181" s="3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row>
    <row r="182" spans="1:64" ht="15.75" customHeight="1">
      <c r="A182" s="21"/>
      <c r="B182" s="21"/>
      <c r="C182" s="21"/>
      <c r="D182" s="21"/>
      <c r="E182" s="21"/>
      <c r="F182" s="21"/>
      <c r="G182" s="21"/>
      <c r="H182" s="21"/>
      <c r="I182" s="21"/>
      <c r="J182" s="3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row>
    <row r="183" spans="1:64" ht="15.75" customHeight="1">
      <c r="A183" s="21"/>
      <c r="B183" s="21"/>
      <c r="C183" s="21"/>
      <c r="D183" s="21"/>
      <c r="E183" s="21"/>
      <c r="F183" s="21"/>
      <c r="G183" s="21"/>
      <c r="H183" s="21"/>
      <c r="I183" s="21"/>
      <c r="J183" s="3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row>
    <row r="184" spans="1:64" ht="15.75" customHeight="1">
      <c r="A184" s="21"/>
      <c r="B184" s="21"/>
      <c r="C184" s="21"/>
      <c r="D184" s="21"/>
      <c r="E184" s="21"/>
      <c r="F184" s="21"/>
      <c r="G184" s="21"/>
      <c r="H184" s="21"/>
      <c r="I184" s="21"/>
      <c r="J184" s="3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row>
    <row r="185" spans="1:64" ht="15.75" customHeight="1">
      <c r="A185" s="21"/>
      <c r="B185" s="21"/>
      <c r="C185" s="21"/>
      <c r="D185" s="21"/>
      <c r="E185" s="21"/>
      <c r="F185" s="21"/>
      <c r="G185" s="21"/>
      <c r="H185" s="21"/>
      <c r="I185" s="21"/>
      <c r="J185" s="3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row>
    <row r="186" spans="1:64" ht="15.75" customHeight="1">
      <c r="A186" s="21"/>
      <c r="B186" s="21"/>
      <c r="C186" s="21"/>
      <c r="D186" s="21"/>
      <c r="E186" s="21"/>
      <c r="F186" s="21"/>
      <c r="G186" s="21"/>
      <c r="H186" s="21"/>
      <c r="I186" s="21"/>
      <c r="J186" s="3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row>
    <row r="187" spans="1:64" ht="15.75" customHeight="1">
      <c r="A187" s="21"/>
      <c r="B187" s="21"/>
      <c r="C187" s="21"/>
      <c r="D187" s="21"/>
      <c r="E187" s="21"/>
      <c r="F187" s="21"/>
      <c r="G187" s="21"/>
      <c r="H187" s="21"/>
      <c r="I187" s="21"/>
      <c r="J187" s="3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row>
    <row r="188" spans="1:64" ht="15.75" customHeight="1">
      <c r="A188" s="21"/>
      <c r="B188" s="21"/>
      <c r="C188" s="21"/>
      <c r="D188" s="21"/>
      <c r="E188" s="21"/>
      <c r="F188" s="21"/>
      <c r="G188" s="21"/>
      <c r="H188" s="21"/>
      <c r="I188" s="21"/>
      <c r="J188" s="3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row>
    <row r="189" spans="1:64" ht="15.75" customHeight="1">
      <c r="A189" s="21"/>
      <c r="B189" s="21"/>
      <c r="C189" s="21"/>
      <c r="D189" s="21"/>
      <c r="E189" s="21"/>
      <c r="F189" s="21"/>
      <c r="G189" s="21"/>
      <c r="H189" s="21"/>
      <c r="I189" s="21"/>
      <c r="J189" s="3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row>
    <row r="190" spans="1:64" ht="15.75" customHeight="1">
      <c r="A190" s="21"/>
      <c r="B190" s="21"/>
      <c r="C190" s="21"/>
      <c r="D190" s="21"/>
      <c r="E190" s="21"/>
      <c r="F190" s="21"/>
      <c r="G190" s="21"/>
      <c r="H190" s="21"/>
      <c r="I190" s="21"/>
      <c r="J190" s="3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row>
    <row r="191" spans="1:64" ht="15.75" customHeight="1">
      <c r="A191" s="21"/>
      <c r="B191" s="21"/>
      <c r="C191" s="21"/>
      <c r="D191" s="21"/>
      <c r="E191" s="21"/>
      <c r="F191" s="21"/>
      <c r="G191" s="21"/>
      <c r="H191" s="21"/>
      <c r="I191" s="21"/>
      <c r="J191" s="3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row>
    <row r="192" spans="1:64" ht="15.75" customHeight="1">
      <c r="A192" s="21"/>
      <c r="B192" s="21"/>
      <c r="C192" s="21"/>
      <c r="D192" s="21"/>
      <c r="E192" s="21"/>
      <c r="F192" s="21"/>
      <c r="G192" s="21"/>
      <c r="H192" s="21"/>
      <c r="I192" s="21"/>
      <c r="J192" s="3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row>
    <row r="193" spans="1:64" ht="15.75" customHeight="1">
      <c r="A193" s="21"/>
      <c r="B193" s="21"/>
      <c r="C193" s="21"/>
      <c r="D193" s="21"/>
      <c r="E193" s="21"/>
      <c r="F193" s="21"/>
      <c r="G193" s="21"/>
      <c r="H193" s="21"/>
      <c r="I193" s="21"/>
      <c r="J193" s="3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row>
    <row r="194" spans="1:64" ht="15.75" customHeight="1">
      <c r="A194" s="21"/>
      <c r="B194" s="21"/>
      <c r="C194" s="21"/>
      <c r="D194" s="21"/>
      <c r="E194" s="21"/>
      <c r="F194" s="21"/>
      <c r="G194" s="21"/>
      <c r="H194" s="21"/>
      <c r="I194" s="21"/>
      <c r="J194" s="3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row>
    <row r="195" spans="1:64" ht="15.75" customHeight="1">
      <c r="A195" s="21"/>
      <c r="B195" s="21"/>
      <c r="C195" s="21"/>
      <c r="D195" s="21"/>
      <c r="E195" s="21"/>
      <c r="F195" s="21"/>
      <c r="G195" s="21"/>
      <c r="H195" s="21"/>
      <c r="I195" s="21"/>
      <c r="J195" s="3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row>
    <row r="196" spans="1:64" ht="15.75" customHeight="1">
      <c r="A196" s="21"/>
      <c r="B196" s="21"/>
      <c r="C196" s="21"/>
      <c r="D196" s="21"/>
      <c r="E196" s="21"/>
      <c r="F196" s="21"/>
      <c r="G196" s="21"/>
      <c r="H196" s="21"/>
      <c r="I196" s="21"/>
      <c r="J196" s="3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row>
    <row r="197" spans="1:64" ht="15.75" customHeight="1">
      <c r="A197" s="21"/>
      <c r="B197" s="21"/>
      <c r="C197" s="21"/>
      <c r="D197" s="21"/>
      <c r="E197" s="21"/>
      <c r="F197" s="21"/>
      <c r="G197" s="21"/>
      <c r="H197" s="21"/>
      <c r="I197" s="21"/>
      <c r="J197" s="3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row>
    <row r="198" spans="1:64" ht="15.75" customHeight="1">
      <c r="A198" s="21"/>
      <c r="B198" s="21"/>
      <c r="C198" s="21"/>
      <c r="D198" s="21"/>
      <c r="E198" s="21"/>
      <c r="F198" s="21"/>
      <c r="G198" s="21"/>
      <c r="H198" s="21"/>
      <c r="I198" s="21"/>
      <c r="J198" s="3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row>
    <row r="199" spans="1:64" ht="15.75" customHeight="1">
      <c r="A199" s="21"/>
      <c r="B199" s="21"/>
      <c r="C199" s="21"/>
      <c r="D199" s="21"/>
      <c r="E199" s="21"/>
      <c r="F199" s="21"/>
      <c r="G199" s="21"/>
      <c r="H199" s="21"/>
      <c r="I199" s="21"/>
      <c r="J199" s="3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row>
    <row r="200" spans="1:64" ht="15.75" customHeight="1">
      <c r="A200" s="21"/>
      <c r="B200" s="21"/>
      <c r="C200" s="21"/>
      <c r="D200" s="21"/>
      <c r="E200" s="21"/>
      <c r="F200" s="21"/>
      <c r="G200" s="21"/>
      <c r="H200" s="21"/>
      <c r="I200" s="21"/>
      <c r="J200" s="3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row>
    <row r="201" spans="1:64" ht="15.75" customHeight="1">
      <c r="A201" s="21"/>
      <c r="B201" s="21"/>
      <c r="C201" s="21"/>
      <c r="D201" s="21"/>
      <c r="E201" s="21"/>
      <c r="F201" s="21"/>
      <c r="G201" s="21"/>
      <c r="H201" s="21"/>
      <c r="I201" s="21"/>
      <c r="J201" s="3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row>
    <row r="202" spans="1:64" ht="15.75" customHeight="1">
      <c r="A202" s="21"/>
      <c r="B202" s="21"/>
      <c r="C202" s="21"/>
      <c r="D202" s="21"/>
      <c r="E202" s="21"/>
      <c r="F202" s="21"/>
      <c r="G202" s="21"/>
      <c r="H202" s="21"/>
      <c r="I202" s="21"/>
      <c r="J202" s="3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row>
    <row r="203" spans="1:64" ht="15.75" customHeight="1">
      <c r="A203" s="21"/>
      <c r="B203" s="21"/>
      <c r="C203" s="21"/>
      <c r="D203" s="21"/>
      <c r="E203" s="21"/>
      <c r="F203" s="21"/>
      <c r="G203" s="21"/>
      <c r="H203" s="21"/>
      <c r="I203" s="21"/>
      <c r="J203" s="3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row>
    <row r="204" spans="1:64" ht="15.75" customHeight="1">
      <c r="A204" s="21"/>
      <c r="B204" s="21"/>
      <c r="C204" s="21"/>
      <c r="D204" s="21"/>
      <c r="E204" s="21"/>
      <c r="F204" s="21"/>
      <c r="G204" s="21"/>
      <c r="H204" s="21"/>
      <c r="I204" s="21"/>
      <c r="J204" s="3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row>
    <row r="205" spans="1:64" ht="15.75" customHeight="1">
      <c r="A205" s="21"/>
      <c r="B205" s="21"/>
      <c r="C205" s="21"/>
      <c r="D205" s="21"/>
      <c r="E205" s="21"/>
      <c r="F205" s="21"/>
      <c r="G205" s="21"/>
      <c r="H205" s="21"/>
      <c r="I205" s="21"/>
      <c r="J205" s="3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row>
    <row r="206" spans="1:64" ht="15.75" customHeight="1">
      <c r="A206" s="21"/>
      <c r="B206" s="21"/>
      <c r="C206" s="21"/>
      <c r="D206" s="21"/>
      <c r="E206" s="21"/>
      <c r="F206" s="21"/>
      <c r="G206" s="21"/>
      <c r="H206" s="21"/>
      <c r="I206" s="21"/>
      <c r="J206" s="3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row>
    <row r="207" spans="1:64" ht="15.75" customHeight="1">
      <c r="A207" s="21"/>
      <c r="B207" s="21"/>
      <c r="C207" s="21"/>
      <c r="D207" s="21"/>
      <c r="E207" s="21"/>
      <c r="F207" s="21"/>
      <c r="G207" s="21"/>
      <c r="H207" s="21"/>
      <c r="I207" s="21"/>
      <c r="J207" s="3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row>
    <row r="208" spans="1:64" ht="15.75" customHeight="1">
      <c r="A208" s="21"/>
      <c r="B208" s="21"/>
      <c r="C208" s="21"/>
      <c r="D208" s="21"/>
      <c r="E208" s="21"/>
      <c r="F208" s="21"/>
      <c r="G208" s="21"/>
      <c r="H208" s="21"/>
      <c r="I208" s="21"/>
      <c r="J208" s="3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row>
    <row r="209" spans="1:64" ht="15.75" customHeight="1">
      <c r="A209" s="21"/>
      <c r="B209" s="21"/>
      <c r="C209" s="21"/>
      <c r="D209" s="21"/>
      <c r="E209" s="21"/>
      <c r="F209" s="21"/>
      <c r="G209" s="21"/>
      <c r="H209" s="21"/>
      <c r="I209" s="21"/>
      <c r="J209" s="3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row>
    <row r="210" spans="1:64" ht="15.75" customHeight="1">
      <c r="A210" s="21"/>
      <c r="B210" s="21"/>
      <c r="C210" s="21"/>
      <c r="D210" s="21"/>
      <c r="E210" s="21"/>
      <c r="F210" s="21"/>
      <c r="G210" s="21"/>
      <c r="H210" s="21"/>
      <c r="I210" s="21"/>
      <c r="J210" s="3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row>
    <row r="211" spans="1:64" ht="15.75" customHeight="1">
      <c r="A211" s="21"/>
      <c r="B211" s="21"/>
      <c r="C211" s="21"/>
      <c r="D211" s="21"/>
      <c r="E211" s="21"/>
      <c r="F211" s="21"/>
      <c r="G211" s="21"/>
      <c r="H211" s="21"/>
      <c r="I211" s="21"/>
      <c r="J211" s="3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row>
    <row r="212" spans="1:64" ht="15.75" customHeight="1">
      <c r="A212" s="21"/>
      <c r="B212" s="21"/>
      <c r="C212" s="21"/>
      <c r="D212" s="21"/>
      <c r="E212" s="21"/>
      <c r="F212" s="21"/>
      <c r="G212" s="21"/>
      <c r="H212" s="21"/>
      <c r="I212" s="21"/>
      <c r="J212" s="3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row>
    <row r="213" spans="1:64" ht="15.75" customHeight="1">
      <c r="A213" s="21"/>
      <c r="B213" s="21"/>
      <c r="C213" s="21"/>
      <c r="D213" s="21"/>
      <c r="E213" s="21"/>
      <c r="F213" s="21"/>
      <c r="G213" s="21"/>
      <c r="H213" s="21"/>
      <c r="I213" s="21"/>
      <c r="J213" s="3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row>
    <row r="214" spans="1:64" ht="15.75" customHeight="1">
      <c r="A214" s="21"/>
      <c r="B214" s="21"/>
      <c r="C214" s="21"/>
      <c r="D214" s="21"/>
      <c r="E214" s="21"/>
      <c r="F214" s="21"/>
      <c r="G214" s="21"/>
      <c r="H214" s="21"/>
      <c r="I214" s="21"/>
      <c r="J214" s="3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row>
    <row r="215" spans="1:64" ht="15.75" customHeight="1">
      <c r="A215" s="21"/>
      <c r="B215" s="21"/>
      <c r="C215" s="21"/>
      <c r="D215" s="21"/>
      <c r="E215" s="21"/>
      <c r="F215" s="21"/>
      <c r="G215" s="21"/>
      <c r="H215" s="21"/>
      <c r="I215" s="21"/>
      <c r="J215" s="3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row>
    <row r="216" spans="1:64" ht="15.75" customHeight="1">
      <c r="A216" s="21"/>
      <c r="B216" s="21"/>
      <c r="C216" s="21"/>
      <c r="D216" s="21"/>
      <c r="E216" s="21"/>
      <c r="F216" s="21"/>
      <c r="G216" s="21"/>
      <c r="H216" s="21"/>
      <c r="I216" s="21"/>
      <c r="J216" s="3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row>
    <row r="217" spans="1:64" ht="15.75" customHeight="1">
      <c r="A217" s="21"/>
      <c r="B217" s="21"/>
      <c r="C217" s="21"/>
      <c r="D217" s="21"/>
      <c r="E217" s="21"/>
      <c r="F217" s="21"/>
      <c r="G217" s="21"/>
      <c r="H217" s="21"/>
      <c r="I217" s="21"/>
      <c r="J217" s="3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row>
    <row r="218" spans="1:64" ht="15.75" customHeight="1">
      <c r="A218" s="21"/>
      <c r="B218" s="21"/>
      <c r="C218" s="21"/>
      <c r="D218" s="21"/>
      <c r="E218" s="21"/>
      <c r="F218" s="21"/>
      <c r="G218" s="21"/>
      <c r="H218" s="21"/>
      <c r="I218" s="21"/>
      <c r="J218" s="3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row>
    <row r="219" spans="1:64" ht="15.75" customHeight="1">
      <c r="A219" s="21"/>
      <c r="B219" s="21"/>
      <c r="C219" s="21"/>
      <c r="D219" s="21"/>
      <c r="E219" s="21"/>
      <c r="F219" s="21"/>
      <c r="G219" s="21"/>
      <c r="H219" s="21"/>
      <c r="I219" s="21"/>
      <c r="J219" s="3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row>
    <row r="220" spans="1:64" ht="15.75" customHeight="1">
      <c r="A220" s="21"/>
      <c r="B220" s="21"/>
      <c r="C220" s="21"/>
      <c r="D220" s="21"/>
      <c r="E220" s="21"/>
      <c r="F220" s="21"/>
      <c r="G220" s="21"/>
      <c r="H220" s="21"/>
      <c r="I220" s="21"/>
      <c r="J220" s="3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row>
    <row r="221" spans="1:64" ht="15.75" customHeight="1">
      <c r="A221" s="21"/>
      <c r="B221" s="21"/>
      <c r="C221" s="21"/>
      <c r="D221" s="21"/>
      <c r="E221" s="21"/>
      <c r="F221" s="21"/>
      <c r="G221" s="21"/>
      <c r="H221" s="21"/>
      <c r="I221" s="21"/>
      <c r="J221" s="3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row>
    <row r="222" spans="1:64" ht="15.75" customHeight="1">
      <c r="A222" s="21"/>
      <c r="B222" s="21"/>
      <c r="C222" s="21"/>
      <c r="D222" s="21"/>
      <c r="E222" s="21"/>
      <c r="F222" s="21"/>
      <c r="G222" s="21"/>
      <c r="H222" s="21"/>
      <c r="I222" s="21"/>
      <c r="J222" s="3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row>
    <row r="223" spans="1:64" ht="15.75" customHeight="1">
      <c r="A223" s="21"/>
      <c r="B223" s="21"/>
      <c r="C223" s="21"/>
      <c r="D223" s="21"/>
      <c r="E223" s="21"/>
      <c r="F223" s="21"/>
      <c r="G223" s="21"/>
      <c r="H223" s="21"/>
      <c r="I223" s="21"/>
      <c r="J223" s="3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row>
    <row r="224" spans="1:64" ht="15.75" customHeight="1">
      <c r="A224" s="21"/>
      <c r="B224" s="21"/>
      <c r="C224" s="21"/>
      <c r="D224" s="21"/>
      <c r="E224" s="21"/>
      <c r="F224" s="21"/>
      <c r="G224" s="21"/>
      <c r="H224" s="21"/>
      <c r="I224" s="21"/>
      <c r="J224" s="3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row>
    <row r="225" spans="1:64" ht="15.75" customHeight="1">
      <c r="A225" s="21"/>
      <c r="B225" s="21"/>
      <c r="C225" s="21"/>
      <c r="D225" s="21"/>
      <c r="E225" s="21"/>
      <c r="F225" s="21"/>
      <c r="G225" s="21"/>
      <c r="H225" s="21"/>
      <c r="I225" s="21"/>
      <c r="J225" s="3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row>
    <row r="226" spans="1:64" ht="15.75" customHeight="1">
      <c r="A226" s="21"/>
      <c r="B226" s="21"/>
      <c r="C226" s="21"/>
      <c r="D226" s="21"/>
      <c r="E226" s="21"/>
      <c r="F226" s="21"/>
      <c r="G226" s="21"/>
      <c r="H226" s="21"/>
      <c r="I226" s="21"/>
      <c r="J226" s="3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row>
    <row r="227" spans="1:64" ht="15.75" customHeight="1">
      <c r="A227" s="21"/>
      <c r="B227" s="21"/>
      <c r="C227" s="21"/>
      <c r="D227" s="21"/>
      <c r="E227" s="21"/>
      <c r="F227" s="21"/>
      <c r="G227" s="21"/>
      <c r="H227" s="21"/>
      <c r="I227" s="21"/>
      <c r="J227" s="3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row>
    <row r="228" spans="1:64" ht="15.75" customHeight="1">
      <c r="A228" s="21"/>
      <c r="B228" s="21"/>
      <c r="C228" s="21"/>
      <c r="D228" s="21"/>
      <c r="E228" s="21"/>
      <c r="F228" s="21"/>
      <c r="G228" s="21"/>
      <c r="H228" s="21"/>
      <c r="I228" s="21"/>
      <c r="J228" s="3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row>
    <row r="229" spans="1:64" ht="15.75" customHeight="1">
      <c r="A229" s="21"/>
      <c r="B229" s="21"/>
      <c r="C229" s="21"/>
      <c r="D229" s="21"/>
      <c r="E229" s="21"/>
      <c r="F229" s="21"/>
      <c r="G229" s="21"/>
      <c r="H229" s="21"/>
      <c r="I229" s="21"/>
      <c r="J229" s="3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row>
    <row r="230" spans="1:64" ht="15.75" customHeight="1">
      <c r="A230" s="21"/>
      <c r="B230" s="21"/>
      <c r="C230" s="21"/>
      <c r="D230" s="21"/>
      <c r="E230" s="21"/>
      <c r="F230" s="21"/>
      <c r="G230" s="21"/>
      <c r="H230" s="21"/>
      <c r="I230" s="21"/>
      <c r="J230" s="3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row>
    <row r="231" spans="1:64" ht="15.75" customHeight="1">
      <c r="A231" s="21"/>
      <c r="B231" s="21"/>
      <c r="C231" s="21"/>
      <c r="D231" s="21"/>
      <c r="E231" s="21"/>
      <c r="F231" s="21"/>
      <c r="G231" s="21"/>
      <c r="H231" s="21"/>
      <c r="I231" s="21"/>
      <c r="J231" s="3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row>
    <row r="232" spans="1:64" ht="15.75" customHeight="1">
      <c r="A232" s="21"/>
      <c r="B232" s="21"/>
      <c r="C232" s="21"/>
      <c r="D232" s="21"/>
      <c r="E232" s="21"/>
      <c r="F232" s="21"/>
      <c r="G232" s="21"/>
      <c r="H232" s="21"/>
      <c r="I232" s="21"/>
      <c r="J232" s="3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row>
    <row r="233" spans="1:64" ht="15.75" customHeight="1">
      <c r="A233" s="21"/>
      <c r="B233" s="21"/>
      <c r="C233" s="21"/>
      <c r="D233" s="21"/>
      <c r="E233" s="21"/>
      <c r="F233" s="21"/>
      <c r="G233" s="21"/>
      <c r="H233" s="21"/>
      <c r="I233" s="21"/>
      <c r="J233" s="3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row>
    <row r="234" spans="1:64" ht="15.75" customHeight="1">
      <c r="A234" s="21"/>
      <c r="B234" s="21"/>
      <c r="C234" s="21"/>
      <c r="D234" s="21"/>
      <c r="E234" s="21"/>
      <c r="F234" s="21"/>
      <c r="G234" s="21"/>
      <c r="H234" s="21"/>
      <c r="I234" s="21"/>
      <c r="J234" s="3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row>
    <row r="235" spans="1:64" ht="15.75" customHeight="1">
      <c r="A235" s="21"/>
      <c r="B235" s="21"/>
      <c r="C235" s="21"/>
      <c r="D235" s="21"/>
      <c r="E235" s="21"/>
      <c r="F235" s="21"/>
      <c r="G235" s="21"/>
      <c r="H235" s="21"/>
      <c r="I235" s="21"/>
      <c r="J235" s="3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row>
    <row r="236" spans="1:64" ht="15.75" customHeight="1">
      <c r="A236" s="21"/>
      <c r="B236" s="21"/>
      <c r="C236" s="21"/>
      <c r="D236" s="21"/>
      <c r="E236" s="21"/>
      <c r="F236" s="21"/>
      <c r="G236" s="21"/>
      <c r="H236" s="21"/>
      <c r="I236" s="21"/>
      <c r="J236" s="3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row>
    <row r="237" spans="1:64"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row>
    <row r="238" spans="1:64"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row>
    <row r="239" spans="1:64"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row>
    <row r="240" spans="1:64"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row>
    <row r="241" spans="1:64"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row>
    <row r="242" spans="1:64"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row>
    <row r="243" spans="1:64"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row>
    <row r="244" spans="1:6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row>
    <row r="245" spans="1:64"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row>
    <row r="246" spans="1:64"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row>
    <row r="247" spans="1:64"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row>
    <row r="248" spans="1:64"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row>
    <row r="249" spans="1:64"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row>
    <row r="250" spans="1:64"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row>
    <row r="251" spans="1:64"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row>
    <row r="252" spans="1:64"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row>
    <row r="253" spans="1:64"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row>
    <row r="254" spans="1:6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row>
    <row r="255" spans="1:64"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row>
    <row r="256" spans="1:64"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row>
    <row r="257" spans="1:64"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row>
    <row r="258" spans="1:64"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row>
    <row r="259" spans="1:64"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row>
    <row r="260" spans="1:64"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row>
    <row r="261" spans="1:64"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row>
    <row r="262" spans="1:64"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row>
    <row r="263" spans="1:64"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row>
    <row r="264" spans="1: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row>
    <row r="265" spans="1:64"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row>
    <row r="266" spans="1:64"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row>
    <row r="267" spans="1:64"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row>
    <row r="268" spans="1:64"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row>
    <row r="269" spans="1:64"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row>
    <row r="270" spans="1:64"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row>
    <row r="271" spans="1:64"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row>
    <row r="272" spans="1:64"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row>
    <row r="273" spans="1:64"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row>
    <row r="274" spans="1:6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row>
    <row r="275" spans="1:64"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row>
    <row r="276" spans="1:64"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row>
    <row r="277" spans="1:64"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row>
    <row r="278" spans="1:64"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row>
    <row r="279" spans="1:64"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row>
    <row r="280" spans="1:64"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row>
    <row r="281" spans="1:64"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row>
    <row r="282" spans="1:64"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row>
    <row r="283" spans="1:64"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row>
    <row r="284" spans="1:6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row>
    <row r="285" spans="1:64"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row>
    <row r="286" spans="1:64"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row>
    <row r="287" spans="1:64"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row>
    <row r="288" spans="1:64"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row>
    <row r="289" spans="1:64"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row>
    <row r="290" spans="1:64"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row>
    <row r="291" spans="1:64"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row>
    <row r="292" spans="1:64"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row>
    <row r="293" spans="1:64"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row>
    <row r="294" spans="1:6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row>
    <row r="295" spans="1:64"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row>
    <row r="296" spans="1:64"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row>
    <row r="297" spans="1:64"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row>
    <row r="298" spans="1:64"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row>
    <row r="299" spans="1:64"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row>
    <row r="300" spans="1:64"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row>
    <row r="301" spans="1:64"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row>
    <row r="302" spans="1:64"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row>
    <row r="303" spans="1:64"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row>
    <row r="304" spans="1:6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row>
    <row r="305" spans="1:64"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row>
    <row r="306" spans="1:64"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row>
    <row r="307" spans="1:64"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row>
    <row r="308" spans="1:64"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row>
    <row r="309" spans="1:64"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6"/>
      <c r="BG309" s="26"/>
      <c r="BH309" s="26"/>
      <c r="BI309" s="26"/>
      <c r="BJ309" s="26"/>
      <c r="BK309" s="26"/>
      <c r="BL309" s="26"/>
    </row>
    <row r="310" spans="1:64"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row>
    <row r="311" spans="1:64"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row>
    <row r="312" spans="1:64"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row>
    <row r="313" spans="1:64"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row>
    <row r="314" spans="1:6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row>
    <row r="315" spans="1:64"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row>
    <row r="316" spans="1:64"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row>
    <row r="317" spans="1:64"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row>
    <row r="318" spans="1:64"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row>
    <row r="319" spans="1:64"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row>
    <row r="320" spans="1:64"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row>
    <row r="321" spans="1:64"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row>
    <row r="322" spans="1:64"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row>
    <row r="323" spans="1:64"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row>
    <row r="324" spans="1:6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row>
    <row r="325" spans="1:64"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row>
    <row r="326" spans="1:64"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row>
    <row r="327" spans="1:64"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row>
    <row r="328" spans="1:64"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row>
    <row r="329" spans="1:64"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row>
    <row r="330" spans="1:64"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row>
    <row r="331" spans="1:64"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row>
    <row r="332" spans="1:64"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row>
    <row r="333" spans="1:64"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row>
    <row r="334" spans="1:6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row>
    <row r="335" spans="1:64"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row>
    <row r="336" spans="1:64"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row>
    <row r="337" spans="1:64"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row>
    <row r="338" spans="1:64"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row>
    <row r="339" spans="1:64"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row>
    <row r="340" spans="1:64"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row>
    <row r="341" spans="1:64"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row>
    <row r="342" spans="1:64"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row>
    <row r="343" spans="1:64"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row>
    <row r="344" spans="1:6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row>
    <row r="345" spans="1:64"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row>
    <row r="346" spans="1:64"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row>
    <row r="347" spans="1:64"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row>
    <row r="348" spans="1:64"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row>
    <row r="349" spans="1:64"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row>
    <row r="350" spans="1:64"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row>
    <row r="351" spans="1:64"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row>
    <row r="352" spans="1:64"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row>
    <row r="353" spans="1:64"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row>
    <row r="354" spans="1:6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row>
    <row r="355" spans="1:64"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row>
    <row r="356" spans="1:64"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row>
    <row r="357" spans="1:64"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row>
    <row r="358" spans="1:64"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row>
    <row r="359" spans="1:64"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row>
    <row r="360" spans="1:64"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row>
    <row r="361" spans="1:64"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row>
    <row r="362" spans="1:64"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row>
    <row r="363" spans="1:64"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row>
    <row r="364" spans="1: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row>
    <row r="365" spans="1:64"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row>
    <row r="366" spans="1:64"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row>
    <row r="367" spans="1:64"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row>
    <row r="368" spans="1:64"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row>
    <row r="369" spans="1:64"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row>
    <row r="370" spans="1:64"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row>
    <row r="371" spans="1:64"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row>
    <row r="372" spans="1:64"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row>
    <row r="373" spans="1:64"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row>
    <row r="374" spans="1:6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row>
    <row r="375" spans="1:64"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row>
    <row r="376" spans="1:64"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row>
    <row r="377" spans="1:64"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row>
    <row r="378" spans="1:64"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row>
    <row r="379" spans="1:64"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row>
    <row r="380" spans="1:64"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row>
    <row r="381" spans="1:64"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row>
    <row r="382" spans="1:64"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row>
    <row r="383" spans="1:64"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row>
    <row r="384" spans="1:6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row>
    <row r="385" spans="1:64"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row>
    <row r="386" spans="1:64"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row>
    <row r="387" spans="1:64"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row>
    <row r="388" spans="1:64"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row>
    <row r="389" spans="1:64"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row>
    <row r="390" spans="1:64"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row>
    <row r="391" spans="1:64"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row>
    <row r="392" spans="1:64"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row>
    <row r="393" spans="1:64"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row>
    <row r="394" spans="1:6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row>
    <row r="395" spans="1:64"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row>
    <row r="396" spans="1:64"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row>
    <row r="397" spans="1:64"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row>
    <row r="398" spans="1:64"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row>
    <row r="399" spans="1:64"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row>
    <row r="400" spans="1:64"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row>
    <row r="401" spans="1:64"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row>
    <row r="402" spans="1:64"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row>
    <row r="403" spans="1:64"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row>
    <row r="404" spans="1:6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row>
    <row r="405" spans="1:64"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row>
    <row r="406" spans="1:64"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row>
    <row r="407" spans="1:64"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row>
    <row r="408" spans="1:64"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row>
    <row r="409" spans="1:64"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row>
    <row r="410" spans="1:64"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row>
    <row r="411" spans="1:64"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6"/>
      <c r="BG411" s="26"/>
      <c r="BH411" s="26"/>
      <c r="BI411" s="26"/>
      <c r="BJ411" s="26"/>
      <c r="BK411" s="26"/>
      <c r="BL411" s="26"/>
    </row>
    <row r="412" spans="1:64"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row>
    <row r="413" spans="1:64"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6"/>
      <c r="BG413" s="26"/>
      <c r="BH413" s="26"/>
      <c r="BI413" s="26"/>
      <c r="BJ413" s="26"/>
      <c r="BK413" s="26"/>
      <c r="BL413" s="26"/>
    </row>
    <row r="414" spans="1:6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row>
    <row r="415" spans="1:64"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row>
    <row r="416" spans="1:64"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row>
    <row r="417" spans="1:64"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row>
    <row r="418" spans="1:64"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row>
    <row r="419" spans="1:64"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row>
    <row r="420" spans="1:64"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row>
    <row r="421" spans="1:64"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row>
    <row r="422" spans="1:64"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row>
    <row r="423" spans="1:64"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row>
    <row r="424" spans="1:6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row>
    <row r="425" spans="1:64"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row>
    <row r="426" spans="1:64"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row>
    <row r="427" spans="1:64"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6"/>
      <c r="BG427" s="26"/>
      <c r="BH427" s="26"/>
      <c r="BI427" s="26"/>
      <c r="BJ427" s="26"/>
      <c r="BK427" s="26"/>
      <c r="BL427" s="26"/>
    </row>
    <row r="428" spans="1:64"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row>
    <row r="429" spans="1:64"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row>
    <row r="430" spans="1:64"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row>
    <row r="431" spans="1:64"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row>
    <row r="432" spans="1:64"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row>
    <row r="433" spans="1:64"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row>
    <row r="434" spans="1:6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row>
    <row r="435" spans="1:64"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row>
    <row r="436" spans="1:64"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row>
    <row r="437" spans="1:64"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6"/>
      <c r="BG437" s="26"/>
      <c r="BH437" s="26"/>
      <c r="BI437" s="26"/>
      <c r="BJ437" s="26"/>
      <c r="BK437" s="26"/>
      <c r="BL437" s="26"/>
    </row>
    <row r="438" spans="1:64"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row>
    <row r="439" spans="1:64"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6"/>
      <c r="BG439" s="26"/>
      <c r="BH439" s="26"/>
      <c r="BI439" s="26"/>
      <c r="BJ439" s="26"/>
      <c r="BK439" s="26"/>
      <c r="BL439" s="26"/>
    </row>
    <row r="440" spans="1:64"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row>
    <row r="441" spans="1:64"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6"/>
      <c r="BG441" s="26"/>
      <c r="BH441" s="26"/>
      <c r="BI441" s="26"/>
      <c r="BJ441" s="26"/>
      <c r="BK441" s="26"/>
      <c r="BL441" s="26"/>
    </row>
    <row r="442" spans="1:64"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row>
    <row r="443" spans="1:64"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row>
    <row r="444" spans="1:6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row>
    <row r="445" spans="1:64"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6"/>
      <c r="BG445" s="26"/>
      <c r="BH445" s="26"/>
      <c r="BI445" s="26"/>
      <c r="BJ445" s="26"/>
      <c r="BK445" s="26"/>
      <c r="BL445" s="26"/>
    </row>
    <row r="446" spans="1:64"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row>
    <row r="447" spans="1:64"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c r="AR447" s="26"/>
      <c r="AS447" s="26"/>
      <c r="AT447" s="26"/>
      <c r="AU447" s="26"/>
      <c r="AV447" s="26"/>
      <c r="AW447" s="26"/>
      <c r="AX447" s="26"/>
      <c r="AY447" s="26"/>
      <c r="AZ447" s="26"/>
      <c r="BA447" s="26"/>
      <c r="BB447" s="26"/>
      <c r="BC447" s="26"/>
      <c r="BD447" s="26"/>
      <c r="BE447" s="26"/>
      <c r="BF447" s="26"/>
      <c r="BG447" s="26"/>
      <c r="BH447" s="26"/>
      <c r="BI447" s="26"/>
      <c r="BJ447" s="26"/>
      <c r="BK447" s="26"/>
      <c r="BL447" s="26"/>
    </row>
    <row r="448" spans="1:64"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row>
    <row r="449" spans="1:64"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c r="AN449" s="26"/>
      <c r="AO449" s="26"/>
      <c r="AP449" s="26"/>
      <c r="AQ449" s="26"/>
      <c r="AR449" s="26"/>
      <c r="AS449" s="26"/>
      <c r="AT449" s="26"/>
      <c r="AU449" s="26"/>
      <c r="AV449" s="26"/>
      <c r="AW449" s="26"/>
      <c r="AX449" s="26"/>
      <c r="AY449" s="26"/>
      <c r="AZ449" s="26"/>
      <c r="BA449" s="26"/>
      <c r="BB449" s="26"/>
      <c r="BC449" s="26"/>
      <c r="BD449" s="26"/>
      <c r="BE449" s="26"/>
      <c r="BF449" s="26"/>
      <c r="BG449" s="26"/>
      <c r="BH449" s="26"/>
      <c r="BI449" s="26"/>
      <c r="BJ449" s="26"/>
      <c r="BK449" s="26"/>
      <c r="BL449" s="26"/>
    </row>
    <row r="450" spans="1:64"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row>
    <row r="451" spans="1:64"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6"/>
      <c r="BG451" s="26"/>
      <c r="BH451" s="26"/>
      <c r="BI451" s="26"/>
      <c r="BJ451" s="26"/>
      <c r="BK451" s="26"/>
      <c r="BL451" s="26"/>
    </row>
    <row r="452" spans="1:64"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row>
    <row r="453" spans="1:64"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row>
    <row r="454" spans="1:6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row>
    <row r="455" spans="1:64"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row>
    <row r="456" spans="1:64"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row>
    <row r="457" spans="1:64"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row>
    <row r="458" spans="1:64"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row>
    <row r="459" spans="1:64"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row>
    <row r="460" spans="1:64"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row>
    <row r="461" spans="1:64"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row>
    <row r="462" spans="1:64"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row>
    <row r="463" spans="1:64"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row>
    <row r="464" spans="1: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row>
    <row r="465" spans="1:64"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row>
    <row r="466" spans="1:64"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row>
    <row r="467" spans="1:64"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row>
    <row r="468" spans="1:64"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row>
    <row r="469" spans="1:64"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row>
    <row r="470" spans="1:64"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row>
    <row r="471" spans="1:64"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c r="AN471" s="26"/>
      <c r="AO471" s="26"/>
      <c r="AP471" s="26"/>
      <c r="AQ471" s="26"/>
      <c r="AR471" s="26"/>
      <c r="AS471" s="26"/>
      <c r="AT471" s="26"/>
      <c r="AU471" s="26"/>
      <c r="AV471" s="26"/>
      <c r="AW471" s="26"/>
      <c r="AX471" s="26"/>
      <c r="AY471" s="26"/>
      <c r="AZ471" s="26"/>
      <c r="BA471" s="26"/>
      <c r="BB471" s="26"/>
      <c r="BC471" s="26"/>
      <c r="BD471" s="26"/>
      <c r="BE471" s="26"/>
      <c r="BF471" s="26"/>
      <c r="BG471" s="26"/>
      <c r="BH471" s="26"/>
      <c r="BI471" s="26"/>
      <c r="BJ471" s="26"/>
      <c r="BK471" s="26"/>
      <c r="BL471" s="26"/>
    </row>
    <row r="472" spans="1:64"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row>
    <row r="473" spans="1:64"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c r="AN473" s="26"/>
      <c r="AO473" s="26"/>
      <c r="AP473" s="26"/>
      <c r="AQ473" s="26"/>
      <c r="AR473" s="26"/>
      <c r="AS473" s="26"/>
      <c r="AT473" s="26"/>
      <c r="AU473" s="26"/>
      <c r="AV473" s="26"/>
      <c r="AW473" s="26"/>
      <c r="AX473" s="26"/>
      <c r="AY473" s="26"/>
      <c r="AZ473" s="26"/>
      <c r="BA473" s="26"/>
      <c r="BB473" s="26"/>
      <c r="BC473" s="26"/>
      <c r="BD473" s="26"/>
      <c r="BE473" s="26"/>
      <c r="BF473" s="26"/>
      <c r="BG473" s="26"/>
      <c r="BH473" s="26"/>
      <c r="BI473" s="26"/>
      <c r="BJ473" s="26"/>
      <c r="BK473" s="26"/>
      <c r="BL473" s="26"/>
    </row>
    <row r="474" spans="1:6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row>
    <row r="475" spans="1:64"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c r="AN475" s="26"/>
      <c r="AO475" s="26"/>
      <c r="AP475" s="26"/>
      <c r="AQ475" s="26"/>
      <c r="AR475" s="26"/>
      <c r="AS475" s="26"/>
      <c r="AT475" s="26"/>
      <c r="AU475" s="26"/>
      <c r="AV475" s="26"/>
      <c r="AW475" s="26"/>
      <c r="AX475" s="26"/>
      <c r="AY475" s="26"/>
      <c r="AZ475" s="26"/>
      <c r="BA475" s="26"/>
      <c r="BB475" s="26"/>
      <c r="BC475" s="26"/>
      <c r="BD475" s="26"/>
      <c r="BE475" s="26"/>
      <c r="BF475" s="26"/>
      <c r="BG475" s="26"/>
      <c r="BH475" s="26"/>
      <c r="BI475" s="26"/>
      <c r="BJ475" s="26"/>
      <c r="BK475" s="26"/>
      <c r="BL475" s="26"/>
    </row>
    <row r="476" spans="1:64"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row>
    <row r="477" spans="1:64"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c r="AN477" s="26"/>
      <c r="AO477" s="26"/>
      <c r="AP477" s="26"/>
      <c r="AQ477" s="26"/>
      <c r="AR477" s="26"/>
      <c r="AS477" s="26"/>
      <c r="AT477" s="26"/>
      <c r="AU477" s="26"/>
      <c r="AV477" s="26"/>
      <c r="AW477" s="26"/>
      <c r="AX477" s="26"/>
      <c r="AY477" s="26"/>
      <c r="AZ477" s="26"/>
      <c r="BA477" s="26"/>
      <c r="BB477" s="26"/>
      <c r="BC477" s="26"/>
      <c r="BD477" s="26"/>
      <c r="BE477" s="26"/>
      <c r="BF477" s="26"/>
      <c r="BG477" s="26"/>
      <c r="BH477" s="26"/>
      <c r="BI477" s="26"/>
      <c r="BJ477" s="26"/>
      <c r="BK477" s="26"/>
      <c r="BL477" s="26"/>
    </row>
    <row r="478" spans="1:64"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row>
    <row r="479" spans="1:64"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c r="AN479" s="26"/>
      <c r="AO479" s="26"/>
      <c r="AP479" s="26"/>
      <c r="AQ479" s="26"/>
      <c r="AR479" s="26"/>
      <c r="AS479" s="26"/>
      <c r="AT479" s="26"/>
      <c r="AU479" s="26"/>
      <c r="AV479" s="26"/>
      <c r="AW479" s="26"/>
      <c r="AX479" s="26"/>
      <c r="AY479" s="26"/>
      <c r="AZ479" s="26"/>
      <c r="BA479" s="26"/>
      <c r="BB479" s="26"/>
      <c r="BC479" s="26"/>
      <c r="BD479" s="26"/>
      <c r="BE479" s="26"/>
      <c r="BF479" s="26"/>
      <c r="BG479" s="26"/>
      <c r="BH479" s="26"/>
      <c r="BI479" s="26"/>
      <c r="BJ479" s="26"/>
      <c r="BK479" s="26"/>
      <c r="BL479" s="26"/>
    </row>
    <row r="480" spans="1:64"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row>
    <row r="481" spans="1:64"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c r="AN481" s="26"/>
      <c r="AO481" s="26"/>
      <c r="AP481" s="26"/>
      <c r="AQ481" s="26"/>
      <c r="AR481" s="26"/>
      <c r="AS481" s="26"/>
      <c r="AT481" s="26"/>
      <c r="AU481" s="26"/>
      <c r="AV481" s="26"/>
      <c r="AW481" s="26"/>
      <c r="AX481" s="26"/>
      <c r="AY481" s="26"/>
      <c r="AZ481" s="26"/>
      <c r="BA481" s="26"/>
      <c r="BB481" s="26"/>
      <c r="BC481" s="26"/>
      <c r="BD481" s="26"/>
      <c r="BE481" s="26"/>
      <c r="BF481" s="26"/>
      <c r="BG481" s="26"/>
      <c r="BH481" s="26"/>
      <c r="BI481" s="26"/>
      <c r="BJ481" s="26"/>
      <c r="BK481" s="26"/>
      <c r="BL481" s="26"/>
    </row>
    <row r="482" spans="1:64"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row>
    <row r="483" spans="1:64"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c r="AN483" s="26"/>
      <c r="AO483" s="26"/>
      <c r="AP483" s="26"/>
      <c r="AQ483" s="26"/>
      <c r="AR483" s="26"/>
      <c r="AS483" s="26"/>
      <c r="AT483" s="26"/>
      <c r="AU483" s="26"/>
      <c r="AV483" s="26"/>
      <c r="AW483" s="26"/>
      <c r="AX483" s="26"/>
      <c r="AY483" s="26"/>
      <c r="AZ483" s="26"/>
      <c r="BA483" s="26"/>
      <c r="BB483" s="26"/>
      <c r="BC483" s="26"/>
      <c r="BD483" s="26"/>
      <c r="BE483" s="26"/>
      <c r="BF483" s="26"/>
      <c r="BG483" s="26"/>
      <c r="BH483" s="26"/>
      <c r="BI483" s="26"/>
      <c r="BJ483" s="26"/>
      <c r="BK483" s="26"/>
      <c r="BL483" s="26"/>
    </row>
    <row r="484" spans="1:6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row>
    <row r="485" spans="1:64"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c r="AN485" s="26"/>
      <c r="AO485" s="26"/>
      <c r="AP485" s="26"/>
      <c r="AQ485" s="26"/>
      <c r="AR485" s="26"/>
      <c r="AS485" s="26"/>
      <c r="AT485" s="26"/>
      <c r="AU485" s="26"/>
      <c r="AV485" s="26"/>
      <c r="AW485" s="26"/>
      <c r="AX485" s="26"/>
      <c r="AY485" s="26"/>
      <c r="AZ485" s="26"/>
      <c r="BA485" s="26"/>
      <c r="BB485" s="26"/>
      <c r="BC485" s="26"/>
      <c r="BD485" s="26"/>
      <c r="BE485" s="26"/>
      <c r="BF485" s="26"/>
      <c r="BG485" s="26"/>
      <c r="BH485" s="26"/>
      <c r="BI485" s="26"/>
      <c r="BJ485" s="26"/>
      <c r="BK485" s="26"/>
      <c r="BL485" s="26"/>
    </row>
    <row r="486" spans="1:64"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row>
    <row r="487" spans="1:64"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c r="AN487" s="26"/>
      <c r="AO487" s="26"/>
      <c r="AP487" s="26"/>
      <c r="AQ487" s="26"/>
      <c r="AR487" s="26"/>
      <c r="AS487" s="26"/>
      <c r="AT487" s="26"/>
      <c r="AU487" s="26"/>
      <c r="AV487" s="26"/>
      <c r="AW487" s="26"/>
      <c r="AX487" s="26"/>
      <c r="AY487" s="26"/>
      <c r="AZ487" s="26"/>
      <c r="BA487" s="26"/>
      <c r="BB487" s="26"/>
      <c r="BC487" s="26"/>
      <c r="BD487" s="26"/>
      <c r="BE487" s="26"/>
      <c r="BF487" s="26"/>
      <c r="BG487" s="26"/>
      <c r="BH487" s="26"/>
      <c r="BI487" s="26"/>
      <c r="BJ487" s="26"/>
      <c r="BK487" s="26"/>
      <c r="BL487" s="26"/>
    </row>
    <row r="488" spans="1:64"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row>
    <row r="489" spans="1:64"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c r="AN489" s="26"/>
      <c r="AO489" s="26"/>
      <c r="AP489" s="26"/>
      <c r="AQ489" s="26"/>
      <c r="AR489" s="26"/>
      <c r="AS489" s="26"/>
      <c r="AT489" s="26"/>
      <c r="AU489" s="26"/>
      <c r="AV489" s="26"/>
      <c r="AW489" s="26"/>
      <c r="AX489" s="26"/>
      <c r="AY489" s="26"/>
      <c r="AZ489" s="26"/>
      <c r="BA489" s="26"/>
      <c r="BB489" s="26"/>
      <c r="BC489" s="26"/>
      <c r="BD489" s="26"/>
      <c r="BE489" s="26"/>
      <c r="BF489" s="26"/>
      <c r="BG489" s="26"/>
      <c r="BH489" s="26"/>
      <c r="BI489" s="26"/>
      <c r="BJ489" s="26"/>
      <c r="BK489" s="26"/>
      <c r="BL489" s="26"/>
    </row>
    <row r="490" spans="1:64"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row>
    <row r="491" spans="1:64"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6"/>
      <c r="BG491" s="26"/>
      <c r="BH491" s="26"/>
      <c r="BI491" s="26"/>
      <c r="BJ491" s="26"/>
      <c r="BK491" s="26"/>
      <c r="BL491" s="26"/>
    </row>
    <row r="492" spans="1:64"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row>
    <row r="493" spans="1:64"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c r="AN493" s="26"/>
      <c r="AO493" s="26"/>
      <c r="AP493" s="26"/>
      <c r="AQ493" s="26"/>
      <c r="AR493" s="26"/>
      <c r="AS493" s="26"/>
      <c r="AT493" s="26"/>
      <c r="AU493" s="26"/>
      <c r="AV493" s="26"/>
      <c r="AW493" s="26"/>
      <c r="AX493" s="26"/>
      <c r="AY493" s="26"/>
      <c r="AZ493" s="26"/>
      <c r="BA493" s="26"/>
      <c r="BB493" s="26"/>
      <c r="BC493" s="26"/>
      <c r="BD493" s="26"/>
      <c r="BE493" s="26"/>
      <c r="BF493" s="26"/>
      <c r="BG493" s="26"/>
      <c r="BH493" s="26"/>
      <c r="BI493" s="26"/>
      <c r="BJ493" s="26"/>
      <c r="BK493" s="26"/>
      <c r="BL493" s="26"/>
    </row>
    <row r="494" spans="1:6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row>
    <row r="495" spans="1:64"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c r="AR495" s="26"/>
      <c r="AS495" s="26"/>
      <c r="AT495" s="26"/>
      <c r="AU495" s="26"/>
      <c r="AV495" s="26"/>
      <c r="AW495" s="26"/>
      <c r="AX495" s="26"/>
      <c r="AY495" s="26"/>
      <c r="AZ495" s="26"/>
      <c r="BA495" s="26"/>
      <c r="BB495" s="26"/>
      <c r="BC495" s="26"/>
      <c r="BD495" s="26"/>
      <c r="BE495" s="26"/>
      <c r="BF495" s="26"/>
      <c r="BG495" s="26"/>
      <c r="BH495" s="26"/>
      <c r="BI495" s="26"/>
      <c r="BJ495" s="26"/>
      <c r="BK495" s="26"/>
      <c r="BL495" s="26"/>
    </row>
    <row r="496" spans="1:64"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row>
    <row r="497" spans="1:64"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6"/>
      <c r="BG497" s="26"/>
      <c r="BH497" s="26"/>
      <c r="BI497" s="26"/>
      <c r="BJ497" s="26"/>
      <c r="BK497" s="26"/>
      <c r="BL497" s="26"/>
    </row>
    <row r="498" spans="1:64"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row>
    <row r="499" spans="1:64"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6"/>
      <c r="BG499" s="26"/>
      <c r="BH499" s="26"/>
      <c r="BI499" s="26"/>
      <c r="BJ499" s="26"/>
      <c r="BK499" s="26"/>
      <c r="BL499" s="26"/>
    </row>
    <row r="500" spans="1:64"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row>
    <row r="501" spans="1:64"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c r="AN501" s="26"/>
      <c r="AO501" s="26"/>
      <c r="AP501" s="26"/>
      <c r="AQ501" s="26"/>
      <c r="AR501" s="26"/>
      <c r="AS501" s="26"/>
      <c r="AT501" s="26"/>
      <c r="AU501" s="26"/>
      <c r="AV501" s="26"/>
      <c r="AW501" s="26"/>
      <c r="AX501" s="26"/>
      <c r="AY501" s="26"/>
      <c r="AZ501" s="26"/>
      <c r="BA501" s="26"/>
      <c r="BB501" s="26"/>
      <c r="BC501" s="26"/>
      <c r="BD501" s="26"/>
      <c r="BE501" s="26"/>
      <c r="BF501" s="26"/>
      <c r="BG501" s="26"/>
      <c r="BH501" s="26"/>
      <c r="BI501" s="26"/>
      <c r="BJ501" s="26"/>
      <c r="BK501" s="26"/>
      <c r="BL501" s="26"/>
    </row>
    <row r="502" spans="1:64"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row>
    <row r="503" spans="1:64"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6"/>
      <c r="BG503" s="26"/>
      <c r="BH503" s="26"/>
      <c r="BI503" s="26"/>
      <c r="BJ503" s="26"/>
      <c r="BK503" s="26"/>
      <c r="BL503" s="26"/>
    </row>
    <row r="504" spans="1:6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row>
    <row r="505" spans="1:64"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c r="AN505" s="26"/>
      <c r="AO505" s="26"/>
      <c r="AP505" s="26"/>
      <c r="AQ505" s="26"/>
      <c r="AR505" s="26"/>
      <c r="AS505" s="26"/>
      <c r="AT505" s="26"/>
      <c r="AU505" s="26"/>
      <c r="AV505" s="26"/>
      <c r="AW505" s="26"/>
      <c r="AX505" s="26"/>
      <c r="AY505" s="26"/>
      <c r="AZ505" s="26"/>
      <c r="BA505" s="26"/>
      <c r="BB505" s="26"/>
      <c r="BC505" s="26"/>
      <c r="BD505" s="26"/>
      <c r="BE505" s="26"/>
      <c r="BF505" s="26"/>
      <c r="BG505" s="26"/>
      <c r="BH505" s="26"/>
      <c r="BI505" s="26"/>
      <c r="BJ505" s="26"/>
      <c r="BK505" s="26"/>
      <c r="BL505" s="26"/>
    </row>
    <row r="506" spans="1:64"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row>
    <row r="507" spans="1:64"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c r="AN507" s="26"/>
      <c r="AO507" s="26"/>
      <c r="AP507" s="26"/>
      <c r="AQ507" s="26"/>
      <c r="AR507" s="26"/>
      <c r="AS507" s="26"/>
      <c r="AT507" s="26"/>
      <c r="AU507" s="26"/>
      <c r="AV507" s="26"/>
      <c r="AW507" s="26"/>
      <c r="AX507" s="26"/>
      <c r="AY507" s="26"/>
      <c r="AZ507" s="26"/>
      <c r="BA507" s="26"/>
      <c r="BB507" s="26"/>
      <c r="BC507" s="26"/>
      <c r="BD507" s="26"/>
      <c r="BE507" s="26"/>
      <c r="BF507" s="26"/>
      <c r="BG507" s="26"/>
      <c r="BH507" s="26"/>
      <c r="BI507" s="26"/>
      <c r="BJ507" s="26"/>
      <c r="BK507" s="26"/>
      <c r="BL507" s="26"/>
    </row>
    <row r="508" spans="1:64"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row>
    <row r="509" spans="1:64"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c r="AR509" s="26"/>
      <c r="AS509" s="26"/>
      <c r="AT509" s="26"/>
      <c r="AU509" s="26"/>
      <c r="AV509" s="26"/>
      <c r="AW509" s="26"/>
      <c r="AX509" s="26"/>
      <c r="AY509" s="26"/>
      <c r="AZ509" s="26"/>
      <c r="BA509" s="26"/>
      <c r="BB509" s="26"/>
      <c r="BC509" s="26"/>
      <c r="BD509" s="26"/>
      <c r="BE509" s="26"/>
      <c r="BF509" s="26"/>
      <c r="BG509" s="26"/>
      <c r="BH509" s="26"/>
      <c r="BI509" s="26"/>
      <c r="BJ509" s="26"/>
      <c r="BK509" s="26"/>
      <c r="BL509" s="26"/>
    </row>
    <row r="510" spans="1:64"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row>
    <row r="511" spans="1:64"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c r="AR511" s="26"/>
      <c r="AS511" s="26"/>
      <c r="AT511" s="26"/>
      <c r="AU511" s="26"/>
      <c r="AV511" s="26"/>
      <c r="AW511" s="26"/>
      <c r="AX511" s="26"/>
      <c r="AY511" s="26"/>
      <c r="AZ511" s="26"/>
      <c r="BA511" s="26"/>
      <c r="BB511" s="26"/>
      <c r="BC511" s="26"/>
      <c r="BD511" s="26"/>
      <c r="BE511" s="26"/>
      <c r="BF511" s="26"/>
      <c r="BG511" s="26"/>
      <c r="BH511" s="26"/>
      <c r="BI511" s="26"/>
      <c r="BJ511" s="26"/>
      <c r="BK511" s="26"/>
      <c r="BL511" s="26"/>
    </row>
    <row r="512" spans="1:64"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row>
    <row r="513" spans="1:64"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6"/>
      <c r="BA513" s="26"/>
      <c r="BB513" s="26"/>
      <c r="BC513" s="26"/>
      <c r="BD513" s="26"/>
      <c r="BE513" s="26"/>
      <c r="BF513" s="26"/>
      <c r="BG513" s="26"/>
      <c r="BH513" s="26"/>
      <c r="BI513" s="26"/>
      <c r="BJ513" s="26"/>
      <c r="BK513" s="26"/>
      <c r="BL513" s="26"/>
    </row>
    <row r="514" spans="1:6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row>
    <row r="515" spans="1:64"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c r="AN515" s="26"/>
      <c r="AO515" s="26"/>
      <c r="AP515" s="26"/>
      <c r="AQ515" s="26"/>
      <c r="AR515" s="26"/>
      <c r="AS515" s="26"/>
      <c r="AT515" s="26"/>
      <c r="AU515" s="26"/>
      <c r="AV515" s="26"/>
      <c r="AW515" s="26"/>
      <c r="AX515" s="26"/>
      <c r="AY515" s="26"/>
      <c r="AZ515" s="26"/>
      <c r="BA515" s="26"/>
      <c r="BB515" s="26"/>
      <c r="BC515" s="26"/>
      <c r="BD515" s="26"/>
      <c r="BE515" s="26"/>
      <c r="BF515" s="26"/>
      <c r="BG515" s="26"/>
      <c r="BH515" s="26"/>
      <c r="BI515" s="26"/>
      <c r="BJ515" s="26"/>
      <c r="BK515" s="26"/>
      <c r="BL515" s="26"/>
    </row>
    <row r="516" spans="1:64"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row>
    <row r="517" spans="1:64"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c r="AN517" s="26"/>
      <c r="AO517" s="26"/>
      <c r="AP517" s="26"/>
      <c r="AQ517" s="26"/>
      <c r="AR517" s="26"/>
      <c r="AS517" s="26"/>
      <c r="AT517" s="26"/>
      <c r="AU517" s="26"/>
      <c r="AV517" s="26"/>
      <c r="AW517" s="26"/>
      <c r="AX517" s="26"/>
      <c r="AY517" s="26"/>
      <c r="AZ517" s="26"/>
      <c r="BA517" s="26"/>
      <c r="BB517" s="26"/>
      <c r="BC517" s="26"/>
      <c r="BD517" s="26"/>
      <c r="BE517" s="26"/>
      <c r="BF517" s="26"/>
      <c r="BG517" s="26"/>
      <c r="BH517" s="26"/>
      <c r="BI517" s="26"/>
      <c r="BJ517" s="26"/>
      <c r="BK517" s="26"/>
      <c r="BL517" s="26"/>
    </row>
    <row r="518" spans="1:64"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row>
    <row r="519" spans="1:64"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c r="AN519" s="26"/>
      <c r="AO519" s="26"/>
      <c r="AP519" s="26"/>
      <c r="AQ519" s="26"/>
      <c r="AR519" s="26"/>
      <c r="AS519" s="26"/>
      <c r="AT519" s="26"/>
      <c r="AU519" s="26"/>
      <c r="AV519" s="26"/>
      <c r="AW519" s="26"/>
      <c r="AX519" s="26"/>
      <c r="AY519" s="26"/>
      <c r="AZ519" s="26"/>
      <c r="BA519" s="26"/>
      <c r="BB519" s="26"/>
      <c r="BC519" s="26"/>
      <c r="BD519" s="26"/>
      <c r="BE519" s="26"/>
      <c r="BF519" s="26"/>
      <c r="BG519" s="26"/>
      <c r="BH519" s="26"/>
      <c r="BI519" s="26"/>
      <c r="BJ519" s="26"/>
      <c r="BK519" s="26"/>
      <c r="BL519" s="26"/>
    </row>
    <row r="520" spans="1:64"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row>
    <row r="521" spans="1:64"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c r="AN521" s="26"/>
      <c r="AO521" s="26"/>
      <c r="AP521" s="26"/>
      <c r="AQ521" s="26"/>
      <c r="AR521" s="26"/>
      <c r="AS521" s="26"/>
      <c r="AT521" s="26"/>
      <c r="AU521" s="26"/>
      <c r="AV521" s="26"/>
      <c r="AW521" s="26"/>
      <c r="AX521" s="26"/>
      <c r="AY521" s="26"/>
      <c r="AZ521" s="26"/>
      <c r="BA521" s="26"/>
      <c r="BB521" s="26"/>
      <c r="BC521" s="26"/>
      <c r="BD521" s="26"/>
      <c r="BE521" s="26"/>
      <c r="BF521" s="26"/>
      <c r="BG521" s="26"/>
      <c r="BH521" s="26"/>
      <c r="BI521" s="26"/>
      <c r="BJ521" s="26"/>
      <c r="BK521" s="26"/>
      <c r="BL521" s="26"/>
    </row>
    <row r="522" spans="1:64"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row>
    <row r="523" spans="1:64"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c r="AN523" s="26"/>
      <c r="AO523" s="26"/>
      <c r="AP523" s="26"/>
      <c r="AQ523" s="26"/>
      <c r="AR523" s="26"/>
      <c r="AS523" s="26"/>
      <c r="AT523" s="26"/>
      <c r="AU523" s="26"/>
      <c r="AV523" s="26"/>
      <c r="AW523" s="26"/>
      <c r="AX523" s="26"/>
      <c r="AY523" s="26"/>
      <c r="AZ523" s="26"/>
      <c r="BA523" s="26"/>
      <c r="BB523" s="26"/>
      <c r="BC523" s="26"/>
      <c r="BD523" s="26"/>
      <c r="BE523" s="26"/>
      <c r="BF523" s="26"/>
      <c r="BG523" s="26"/>
      <c r="BH523" s="26"/>
      <c r="BI523" s="26"/>
      <c r="BJ523" s="26"/>
      <c r="BK523" s="26"/>
      <c r="BL523" s="26"/>
    </row>
    <row r="524" spans="1:6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row>
    <row r="525" spans="1:64"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c r="AR525" s="26"/>
      <c r="AS525" s="26"/>
      <c r="AT525" s="26"/>
      <c r="AU525" s="26"/>
      <c r="AV525" s="26"/>
      <c r="AW525" s="26"/>
      <c r="AX525" s="26"/>
      <c r="AY525" s="26"/>
      <c r="AZ525" s="26"/>
      <c r="BA525" s="26"/>
      <c r="BB525" s="26"/>
      <c r="BC525" s="26"/>
      <c r="BD525" s="26"/>
      <c r="BE525" s="26"/>
      <c r="BF525" s="26"/>
      <c r="BG525" s="26"/>
      <c r="BH525" s="26"/>
      <c r="BI525" s="26"/>
      <c r="BJ525" s="26"/>
      <c r="BK525" s="26"/>
      <c r="BL525" s="26"/>
    </row>
    <row r="526" spans="1:64"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row>
    <row r="527" spans="1:64"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26"/>
      <c r="AO527" s="26"/>
      <c r="AP527" s="26"/>
      <c r="AQ527" s="26"/>
      <c r="AR527" s="26"/>
      <c r="AS527" s="26"/>
      <c r="AT527" s="26"/>
      <c r="AU527" s="26"/>
      <c r="AV527" s="26"/>
      <c r="AW527" s="26"/>
      <c r="AX527" s="26"/>
      <c r="AY527" s="26"/>
      <c r="AZ527" s="26"/>
      <c r="BA527" s="26"/>
      <c r="BB527" s="26"/>
      <c r="BC527" s="26"/>
      <c r="BD527" s="26"/>
      <c r="BE527" s="26"/>
      <c r="BF527" s="26"/>
      <c r="BG527" s="26"/>
      <c r="BH527" s="26"/>
      <c r="BI527" s="26"/>
      <c r="BJ527" s="26"/>
      <c r="BK527" s="26"/>
      <c r="BL527" s="26"/>
    </row>
    <row r="528" spans="1:64"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row>
    <row r="529" spans="1:64"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c r="AN529" s="26"/>
      <c r="AO529" s="26"/>
      <c r="AP529" s="26"/>
      <c r="AQ529" s="26"/>
      <c r="AR529" s="26"/>
      <c r="AS529" s="26"/>
      <c r="AT529" s="26"/>
      <c r="AU529" s="26"/>
      <c r="AV529" s="26"/>
      <c r="AW529" s="26"/>
      <c r="AX529" s="26"/>
      <c r="AY529" s="26"/>
      <c r="AZ529" s="26"/>
      <c r="BA529" s="26"/>
      <c r="BB529" s="26"/>
      <c r="BC529" s="26"/>
      <c r="BD529" s="26"/>
      <c r="BE529" s="26"/>
      <c r="BF529" s="26"/>
      <c r="BG529" s="26"/>
      <c r="BH529" s="26"/>
      <c r="BI529" s="26"/>
      <c r="BJ529" s="26"/>
      <c r="BK529" s="26"/>
      <c r="BL529" s="26"/>
    </row>
    <row r="530" spans="1:64"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row>
    <row r="531" spans="1:64"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c r="AN531" s="26"/>
      <c r="AO531" s="26"/>
      <c r="AP531" s="26"/>
      <c r="AQ531" s="26"/>
      <c r="AR531" s="26"/>
      <c r="AS531" s="26"/>
      <c r="AT531" s="26"/>
      <c r="AU531" s="26"/>
      <c r="AV531" s="26"/>
      <c r="AW531" s="26"/>
      <c r="AX531" s="26"/>
      <c r="AY531" s="26"/>
      <c r="AZ531" s="26"/>
      <c r="BA531" s="26"/>
      <c r="BB531" s="26"/>
      <c r="BC531" s="26"/>
      <c r="BD531" s="26"/>
      <c r="BE531" s="26"/>
      <c r="BF531" s="26"/>
      <c r="BG531" s="26"/>
      <c r="BH531" s="26"/>
      <c r="BI531" s="26"/>
      <c r="BJ531" s="26"/>
      <c r="BK531" s="26"/>
      <c r="BL531" s="26"/>
    </row>
    <row r="532" spans="1:64"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row>
    <row r="533" spans="1:64"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c r="AN533" s="26"/>
      <c r="AO533" s="26"/>
      <c r="AP533" s="26"/>
      <c r="AQ533" s="26"/>
      <c r="AR533" s="26"/>
      <c r="AS533" s="26"/>
      <c r="AT533" s="26"/>
      <c r="AU533" s="26"/>
      <c r="AV533" s="26"/>
      <c r="AW533" s="26"/>
      <c r="AX533" s="26"/>
      <c r="AY533" s="26"/>
      <c r="AZ533" s="26"/>
      <c r="BA533" s="26"/>
      <c r="BB533" s="26"/>
      <c r="BC533" s="26"/>
      <c r="BD533" s="26"/>
      <c r="BE533" s="26"/>
      <c r="BF533" s="26"/>
      <c r="BG533" s="26"/>
      <c r="BH533" s="26"/>
      <c r="BI533" s="26"/>
      <c r="BJ533" s="26"/>
      <c r="BK533" s="26"/>
      <c r="BL533" s="26"/>
    </row>
    <row r="534" spans="1:6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row>
    <row r="535" spans="1:64"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c r="AN535" s="26"/>
      <c r="AO535" s="26"/>
      <c r="AP535" s="26"/>
      <c r="AQ535" s="26"/>
      <c r="AR535" s="26"/>
      <c r="AS535" s="26"/>
      <c r="AT535" s="26"/>
      <c r="AU535" s="26"/>
      <c r="AV535" s="26"/>
      <c r="AW535" s="26"/>
      <c r="AX535" s="26"/>
      <c r="AY535" s="26"/>
      <c r="AZ535" s="26"/>
      <c r="BA535" s="26"/>
      <c r="BB535" s="26"/>
      <c r="BC535" s="26"/>
      <c r="BD535" s="26"/>
      <c r="BE535" s="26"/>
      <c r="BF535" s="26"/>
      <c r="BG535" s="26"/>
      <c r="BH535" s="26"/>
      <c r="BI535" s="26"/>
      <c r="BJ535" s="26"/>
      <c r="BK535" s="26"/>
      <c r="BL535" s="26"/>
    </row>
    <row r="536" spans="1:64"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row>
    <row r="537" spans="1:64"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26"/>
      <c r="AO537" s="26"/>
      <c r="AP537" s="26"/>
      <c r="AQ537" s="26"/>
      <c r="AR537" s="26"/>
      <c r="AS537" s="26"/>
      <c r="AT537" s="26"/>
      <c r="AU537" s="26"/>
      <c r="AV537" s="26"/>
      <c r="AW537" s="26"/>
      <c r="AX537" s="26"/>
      <c r="AY537" s="26"/>
      <c r="AZ537" s="26"/>
      <c r="BA537" s="26"/>
      <c r="BB537" s="26"/>
      <c r="BC537" s="26"/>
      <c r="BD537" s="26"/>
      <c r="BE537" s="26"/>
      <c r="BF537" s="26"/>
      <c r="BG537" s="26"/>
      <c r="BH537" s="26"/>
      <c r="BI537" s="26"/>
      <c r="BJ537" s="26"/>
      <c r="BK537" s="26"/>
      <c r="BL537" s="26"/>
    </row>
    <row r="538" spans="1:64"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row>
    <row r="539" spans="1:64"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c r="AN539" s="26"/>
      <c r="AO539" s="26"/>
      <c r="AP539" s="26"/>
      <c r="AQ539" s="26"/>
      <c r="AR539" s="26"/>
      <c r="AS539" s="26"/>
      <c r="AT539" s="26"/>
      <c r="AU539" s="26"/>
      <c r="AV539" s="26"/>
      <c r="AW539" s="26"/>
      <c r="AX539" s="26"/>
      <c r="AY539" s="26"/>
      <c r="AZ539" s="26"/>
      <c r="BA539" s="26"/>
      <c r="BB539" s="26"/>
      <c r="BC539" s="26"/>
      <c r="BD539" s="26"/>
      <c r="BE539" s="26"/>
      <c r="BF539" s="26"/>
      <c r="BG539" s="26"/>
      <c r="BH539" s="26"/>
      <c r="BI539" s="26"/>
      <c r="BJ539" s="26"/>
      <c r="BK539" s="26"/>
      <c r="BL539" s="26"/>
    </row>
    <row r="540" spans="1:64"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row>
    <row r="541" spans="1:64"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c r="AN541" s="26"/>
      <c r="AO541" s="26"/>
      <c r="AP541" s="26"/>
      <c r="AQ541" s="26"/>
      <c r="AR541" s="26"/>
      <c r="AS541" s="26"/>
      <c r="AT541" s="26"/>
      <c r="AU541" s="26"/>
      <c r="AV541" s="26"/>
      <c r="AW541" s="26"/>
      <c r="AX541" s="26"/>
      <c r="AY541" s="26"/>
      <c r="AZ541" s="26"/>
      <c r="BA541" s="26"/>
      <c r="BB541" s="26"/>
      <c r="BC541" s="26"/>
      <c r="BD541" s="26"/>
      <c r="BE541" s="26"/>
      <c r="BF541" s="26"/>
      <c r="BG541" s="26"/>
      <c r="BH541" s="26"/>
      <c r="BI541" s="26"/>
      <c r="BJ541" s="26"/>
      <c r="BK541" s="26"/>
      <c r="BL541" s="26"/>
    </row>
    <row r="542" spans="1:64"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row>
    <row r="543" spans="1:64"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c r="AN543" s="26"/>
      <c r="AO543" s="26"/>
      <c r="AP543" s="26"/>
      <c r="AQ543" s="26"/>
      <c r="AR543" s="26"/>
      <c r="AS543" s="26"/>
      <c r="AT543" s="26"/>
      <c r="AU543" s="26"/>
      <c r="AV543" s="26"/>
      <c r="AW543" s="26"/>
      <c r="AX543" s="26"/>
      <c r="AY543" s="26"/>
      <c r="AZ543" s="26"/>
      <c r="BA543" s="26"/>
      <c r="BB543" s="26"/>
      <c r="BC543" s="26"/>
      <c r="BD543" s="26"/>
      <c r="BE543" s="26"/>
      <c r="BF543" s="26"/>
      <c r="BG543" s="26"/>
      <c r="BH543" s="26"/>
      <c r="BI543" s="26"/>
      <c r="BJ543" s="26"/>
      <c r="BK543" s="26"/>
      <c r="BL543" s="26"/>
    </row>
    <row r="544" spans="1:6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row>
    <row r="545" spans="1:64"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c r="AN545" s="26"/>
      <c r="AO545" s="26"/>
      <c r="AP545" s="26"/>
      <c r="AQ545" s="26"/>
      <c r="AR545" s="26"/>
      <c r="AS545" s="26"/>
      <c r="AT545" s="26"/>
      <c r="AU545" s="26"/>
      <c r="AV545" s="26"/>
      <c r="AW545" s="26"/>
      <c r="AX545" s="26"/>
      <c r="AY545" s="26"/>
      <c r="AZ545" s="26"/>
      <c r="BA545" s="26"/>
      <c r="BB545" s="26"/>
      <c r="BC545" s="26"/>
      <c r="BD545" s="26"/>
      <c r="BE545" s="26"/>
      <c r="BF545" s="26"/>
      <c r="BG545" s="26"/>
      <c r="BH545" s="26"/>
      <c r="BI545" s="26"/>
      <c r="BJ545" s="26"/>
      <c r="BK545" s="26"/>
      <c r="BL545" s="26"/>
    </row>
    <row r="546" spans="1:64"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row>
    <row r="547" spans="1:64"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c r="AN547" s="26"/>
      <c r="AO547" s="26"/>
      <c r="AP547" s="26"/>
      <c r="AQ547" s="26"/>
      <c r="AR547" s="26"/>
      <c r="AS547" s="26"/>
      <c r="AT547" s="26"/>
      <c r="AU547" s="26"/>
      <c r="AV547" s="26"/>
      <c r="AW547" s="26"/>
      <c r="AX547" s="26"/>
      <c r="AY547" s="26"/>
      <c r="AZ547" s="26"/>
      <c r="BA547" s="26"/>
      <c r="BB547" s="26"/>
      <c r="BC547" s="26"/>
      <c r="BD547" s="26"/>
      <c r="BE547" s="26"/>
      <c r="BF547" s="26"/>
      <c r="BG547" s="26"/>
      <c r="BH547" s="26"/>
      <c r="BI547" s="26"/>
      <c r="BJ547" s="26"/>
      <c r="BK547" s="26"/>
      <c r="BL547" s="26"/>
    </row>
    <row r="548" spans="1:64"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row>
    <row r="549" spans="1:64"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c r="AN549" s="26"/>
      <c r="AO549" s="26"/>
      <c r="AP549" s="26"/>
      <c r="AQ549" s="26"/>
      <c r="AR549" s="26"/>
      <c r="AS549" s="26"/>
      <c r="AT549" s="26"/>
      <c r="AU549" s="26"/>
      <c r="AV549" s="26"/>
      <c r="AW549" s="26"/>
      <c r="AX549" s="26"/>
      <c r="AY549" s="26"/>
      <c r="AZ549" s="26"/>
      <c r="BA549" s="26"/>
      <c r="BB549" s="26"/>
      <c r="BC549" s="26"/>
      <c r="BD549" s="26"/>
      <c r="BE549" s="26"/>
      <c r="BF549" s="26"/>
      <c r="BG549" s="26"/>
      <c r="BH549" s="26"/>
      <c r="BI549" s="26"/>
      <c r="BJ549" s="26"/>
      <c r="BK549" s="26"/>
      <c r="BL549" s="26"/>
    </row>
    <row r="550" spans="1:64"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row>
    <row r="551" spans="1:64"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c r="AN551" s="26"/>
      <c r="AO551" s="26"/>
      <c r="AP551" s="26"/>
      <c r="AQ551" s="26"/>
      <c r="AR551" s="26"/>
      <c r="AS551" s="26"/>
      <c r="AT551" s="26"/>
      <c r="AU551" s="26"/>
      <c r="AV551" s="26"/>
      <c r="AW551" s="26"/>
      <c r="AX551" s="26"/>
      <c r="AY551" s="26"/>
      <c r="AZ551" s="26"/>
      <c r="BA551" s="26"/>
      <c r="BB551" s="26"/>
      <c r="BC551" s="26"/>
      <c r="BD551" s="26"/>
      <c r="BE551" s="26"/>
      <c r="BF551" s="26"/>
      <c r="BG551" s="26"/>
      <c r="BH551" s="26"/>
      <c r="BI551" s="26"/>
      <c r="BJ551" s="26"/>
      <c r="BK551" s="26"/>
      <c r="BL551" s="26"/>
    </row>
    <row r="552" spans="1:64"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row>
    <row r="553" spans="1:64"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c r="AN553" s="26"/>
      <c r="AO553" s="26"/>
      <c r="AP553" s="26"/>
      <c r="AQ553" s="26"/>
      <c r="AR553" s="26"/>
      <c r="AS553" s="26"/>
      <c r="AT553" s="26"/>
      <c r="AU553" s="26"/>
      <c r="AV553" s="26"/>
      <c r="AW553" s="26"/>
      <c r="AX553" s="26"/>
      <c r="AY553" s="26"/>
      <c r="AZ553" s="26"/>
      <c r="BA553" s="26"/>
      <c r="BB553" s="26"/>
      <c r="BC553" s="26"/>
      <c r="BD553" s="26"/>
      <c r="BE553" s="26"/>
      <c r="BF553" s="26"/>
      <c r="BG553" s="26"/>
      <c r="BH553" s="26"/>
      <c r="BI553" s="26"/>
      <c r="BJ553" s="26"/>
      <c r="BK553" s="26"/>
      <c r="BL553" s="26"/>
    </row>
    <row r="554" spans="1:6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row>
    <row r="555" spans="1:64"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c r="AN555" s="26"/>
      <c r="AO555" s="26"/>
      <c r="AP555" s="26"/>
      <c r="AQ555" s="26"/>
      <c r="AR555" s="26"/>
      <c r="AS555" s="26"/>
      <c r="AT555" s="26"/>
      <c r="AU555" s="26"/>
      <c r="AV555" s="26"/>
      <c r="AW555" s="26"/>
      <c r="AX555" s="26"/>
      <c r="AY555" s="26"/>
      <c r="AZ555" s="26"/>
      <c r="BA555" s="26"/>
      <c r="BB555" s="26"/>
      <c r="BC555" s="26"/>
      <c r="BD555" s="26"/>
      <c r="BE555" s="26"/>
      <c r="BF555" s="26"/>
      <c r="BG555" s="26"/>
      <c r="BH555" s="26"/>
      <c r="BI555" s="26"/>
      <c r="BJ555" s="26"/>
      <c r="BK555" s="26"/>
      <c r="BL555" s="26"/>
    </row>
    <row r="556" spans="1:64"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row>
    <row r="557" spans="1:64"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c r="AN557" s="26"/>
      <c r="AO557" s="26"/>
      <c r="AP557" s="26"/>
      <c r="AQ557" s="26"/>
      <c r="AR557" s="26"/>
      <c r="AS557" s="26"/>
      <c r="AT557" s="26"/>
      <c r="AU557" s="26"/>
      <c r="AV557" s="26"/>
      <c r="AW557" s="26"/>
      <c r="AX557" s="26"/>
      <c r="AY557" s="26"/>
      <c r="AZ557" s="26"/>
      <c r="BA557" s="26"/>
      <c r="BB557" s="26"/>
      <c r="BC557" s="26"/>
      <c r="BD557" s="26"/>
      <c r="BE557" s="26"/>
      <c r="BF557" s="26"/>
      <c r="BG557" s="26"/>
      <c r="BH557" s="26"/>
      <c r="BI557" s="26"/>
      <c r="BJ557" s="26"/>
      <c r="BK557" s="26"/>
      <c r="BL557" s="26"/>
    </row>
    <row r="558" spans="1:64"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row>
    <row r="559" spans="1:64"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c r="AR559" s="26"/>
      <c r="AS559" s="26"/>
      <c r="AT559" s="26"/>
      <c r="AU559" s="26"/>
      <c r="AV559" s="26"/>
      <c r="AW559" s="26"/>
      <c r="AX559" s="26"/>
      <c r="AY559" s="26"/>
      <c r="AZ559" s="26"/>
      <c r="BA559" s="26"/>
      <c r="BB559" s="26"/>
      <c r="BC559" s="26"/>
      <c r="BD559" s="26"/>
      <c r="BE559" s="26"/>
      <c r="BF559" s="26"/>
      <c r="BG559" s="26"/>
      <c r="BH559" s="26"/>
      <c r="BI559" s="26"/>
      <c r="BJ559" s="26"/>
      <c r="BK559" s="26"/>
      <c r="BL559" s="26"/>
    </row>
    <row r="560" spans="1:64"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row>
    <row r="561" spans="1:64"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c r="AN561" s="26"/>
      <c r="AO561" s="26"/>
      <c r="AP561" s="26"/>
      <c r="AQ561" s="26"/>
      <c r="AR561" s="26"/>
      <c r="AS561" s="26"/>
      <c r="AT561" s="26"/>
      <c r="AU561" s="26"/>
      <c r="AV561" s="26"/>
      <c r="AW561" s="26"/>
      <c r="AX561" s="26"/>
      <c r="AY561" s="26"/>
      <c r="AZ561" s="26"/>
      <c r="BA561" s="26"/>
      <c r="BB561" s="26"/>
      <c r="BC561" s="26"/>
      <c r="BD561" s="26"/>
      <c r="BE561" s="26"/>
      <c r="BF561" s="26"/>
      <c r="BG561" s="26"/>
      <c r="BH561" s="26"/>
      <c r="BI561" s="26"/>
      <c r="BJ561" s="26"/>
      <c r="BK561" s="26"/>
      <c r="BL561" s="26"/>
    </row>
    <row r="562" spans="1:64"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row>
    <row r="563" spans="1:64"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c r="AN563" s="26"/>
      <c r="AO563" s="26"/>
      <c r="AP563" s="26"/>
      <c r="AQ563" s="26"/>
      <c r="AR563" s="26"/>
      <c r="AS563" s="26"/>
      <c r="AT563" s="26"/>
      <c r="AU563" s="26"/>
      <c r="AV563" s="26"/>
      <c r="AW563" s="26"/>
      <c r="AX563" s="26"/>
      <c r="AY563" s="26"/>
      <c r="AZ563" s="26"/>
      <c r="BA563" s="26"/>
      <c r="BB563" s="26"/>
      <c r="BC563" s="26"/>
      <c r="BD563" s="26"/>
      <c r="BE563" s="26"/>
      <c r="BF563" s="26"/>
      <c r="BG563" s="26"/>
      <c r="BH563" s="26"/>
      <c r="BI563" s="26"/>
      <c r="BJ563" s="26"/>
      <c r="BK563" s="26"/>
      <c r="BL563" s="26"/>
    </row>
    <row r="564" spans="1: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row>
    <row r="565" spans="1:64"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c r="AN565" s="26"/>
      <c r="AO565" s="26"/>
      <c r="AP565" s="26"/>
      <c r="AQ565" s="26"/>
      <c r="AR565" s="26"/>
      <c r="AS565" s="26"/>
      <c r="AT565" s="26"/>
      <c r="AU565" s="26"/>
      <c r="AV565" s="26"/>
      <c r="AW565" s="26"/>
      <c r="AX565" s="26"/>
      <c r="AY565" s="26"/>
      <c r="AZ565" s="26"/>
      <c r="BA565" s="26"/>
      <c r="BB565" s="26"/>
      <c r="BC565" s="26"/>
      <c r="BD565" s="26"/>
      <c r="BE565" s="26"/>
      <c r="BF565" s="26"/>
      <c r="BG565" s="26"/>
      <c r="BH565" s="26"/>
      <c r="BI565" s="26"/>
      <c r="BJ565" s="26"/>
      <c r="BK565" s="26"/>
      <c r="BL565" s="26"/>
    </row>
    <row r="566" spans="1:64"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row>
    <row r="567" spans="1:64"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c r="AN567" s="26"/>
      <c r="AO567" s="26"/>
      <c r="AP567" s="26"/>
      <c r="AQ567" s="26"/>
      <c r="AR567" s="26"/>
      <c r="AS567" s="26"/>
      <c r="AT567" s="26"/>
      <c r="AU567" s="26"/>
      <c r="AV567" s="26"/>
      <c r="AW567" s="26"/>
      <c r="AX567" s="26"/>
      <c r="AY567" s="26"/>
      <c r="AZ567" s="26"/>
      <c r="BA567" s="26"/>
      <c r="BB567" s="26"/>
      <c r="BC567" s="26"/>
      <c r="BD567" s="26"/>
      <c r="BE567" s="26"/>
      <c r="BF567" s="26"/>
      <c r="BG567" s="26"/>
      <c r="BH567" s="26"/>
      <c r="BI567" s="26"/>
      <c r="BJ567" s="26"/>
      <c r="BK567" s="26"/>
      <c r="BL567" s="26"/>
    </row>
    <row r="568" spans="1:64"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row>
    <row r="569" spans="1:64"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c r="AN569" s="26"/>
      <c r="AO569" s="26"/>
      <c r="AP569" s="26"/>
      <c r="AQ569" s="26"/>
      <c r="AR569" s="26"/>
      <c r="AS569" s="26"/>
      <c r="AT569" s="26"/>
      <c r="AU569" s="26"/>
      <c r="AV569" s="26"/>
      <c r="AW569" s="26"/>
      <c r="AX569" s="26"/>
      <c r="AY569" s="26"/>
      <c r="AZ569" s="26"/>
      <c r="BA569" s="26"/>
      <c r="BB569" s="26"/>
      <c r="BC569" s="26"/>
      <c r="BD569" s="26"/>
      <c r="BE569" s="26"/>
      <c r="BF569" s="26"/>
      <c r="BG569" s="26"/>
      <c r="BH569" s="26"/>
      <c r="BI569" s="26"/>
      <c r="BJ569" s="26"/>
      <c r="BK569" s="26"/>
      <c r="BL569" s="26"/>
    </row>
    <row r="570" spans="1:64"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row>
    <row r="571" spans="1:64"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c r="AN571" s="26"/>
      <c r="AO571" s="26"/>
      <c r="AP571" s="26"/>
      <c r="AQ571" s="26"/>
      <c r="AR571" s="26"/>
      <c r="AS571" s="26"/>
      <c r="AT571" s="26"/>
      <c r="AU571" s="26"/>
      <c r="AV571" s="26"/>
      <c r="AW571" s="26"/>
      <c r="AX571" s="26"/>
      <c r="AY571" s="26"/>
      <c r="AZ571" s="26"/>
      <c r="BA571" s="26"/>
      <c r="BB571" s="26"/>
      <c r="BC571" s="26"/>
      <c r="BD571" s="26"/>
      <c r="BE571" s="26"/>
      <c r="BF571" s="26"/>
      <c r="BG571" s="26"/>
      <c r="BH571" s="26"/>
      <c r="BI571" s="26"/>
      <c r="BJ571" s="26"/>
      <c r="BK571" s="26"/>
      <c r="BL571" s="26"/>
    </row>
    <row r="572" spans="1:64"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row>
    <row r="573" spans="1:64"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c r="AN573" s="26"/>
      <c r="AO573" s="26"/>
      <c r="AP573" s="26"/>
      <c r="AQ573" s="26"/>
      <c r="AR573" s="26"/>
      <c r="AS573" s="26"/>
      <c r="AT573" s="26"/>
      <c r="AU573" s="26"/>
      <c r="AV573" s="26"/>
      <c r="AW573" s="26"/>
      <c r="AX573" s="26"/>
      <c r="AY573" s="26"/>
      <c r="AZ573" s="26"/>
      <c r="BA573" s="26"/>
      <c r="BB573" s="26"/>
      <c r="BC573" s="26"/>
      <c r="BD573" s="26"/>
      <c r="BE573" s="26"/>
      <c r="BF573" s="26"/>
      <c r="BG573" s="26"/>
      <c r="BH573" s="26"/>
      <c r="BI573" s="26"/>
      <c r="BJ573" s="26"/>
      <c r="BK573" s="26"/>
      <c r="BL573" s="26"/>
    </row>
    <row r="574" spans="1:6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row>
    <row r="575" spans="1:64"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26"/>
      <c r="AS575" s="26"/>
      <c r="AT575" s="26"/>
      <c r="AU575" s="26"/>
      <c r="AV575" s="26"/>
      <c r="AW575" s="26"/>
      <c r="AX575" s="26"/>
      <c r="AY575" s="26"/>
      <c r="AZ575" s="26"/>
      <c r="BA575" s="26"/>
      <c r="BB575" s="26"/>
      <c r="BC575" s="26"/>
      <c r="BD575" s="26"/>
      <c r="BE575" s="26"/>
      <c r="BF575" s="26"/>
      <c r="BG575" s="26"/>
      <c r="BH575" s="26"/>
      <c r="BI575" s="26"/>
      <c r="BJ575" s="26"/>
      <c r="BK575" s="26"/>
      <c r="BL575" s="26"/>
    </row>
    <row r="576" spans="1:64"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row>
    <row r="577" spans="1:64"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c r="AL577" s="26"/>
      <c r="AM577" s="26"/>
      <c r="AN577" s="26"/>
      <c r="AO577" s="26"/>
      <c r="AP577" s="26"/>
      <c r="AQ577" s="26"/>
      <c r="AR577" s="26"/>
      <c r="AS577" s="26"/>
      <c r="AT577" s="26"/>
      <c r="AU577" s="26"/>
      <c r="AV577" s="26"/>
      <c r="AW577" s="26"/>
      <c r="AX577" s="26"/>
      <c r="AY577" s="26"/>
      <c r="AZ577" s="26"/>
      <c r="BA577" s="26"/>
      <c r="BB577" s="26"/>
      <c r="BC577" s="26"/>
      <c r="BD577" s="26"/>
      <c r="BE577" s="26"/>
      <c r="BF577" s="26"/>
      <c r="BG577" s="26"/>
      <c r="BH577" s="26"/>
      <c r="BI577" s="26"/>
      <c r="BJ577" s="26"/>
      <c r="BK577" s="26"/>
      <c r="BL577" s="26"/>
    </row>
    <row r="578" spans="1:64"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row>
    <row r="579" spans="1:64"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c r="AL579" s="26"/>
      <c r="AM579" s="26"/>
      <c r="AN579" s="26"/>
      <c r="AO579" s="26"/>
      <c r="AP579" s="26"/>
      <c r="AQ579" s="26"/>
      <c r="AR579" s="26"/>
      <c r="AS579" s="26"/>
      <c r="AT579" s="26"/>
      <c r="AU579" s="26"/>
      <c r="AV579" s="26"/>
      <c r="AW579" s="26"/>
      <c r="AX579" s="26"/>
      <c r="AY579" s="26"/>
      <c r="AZ579" s="26"/>
      <c r="BA579" s="26"/>
      <c r="BB579" s="26"/>
      <c r="BC579" s="26"/>
      <c r="BD579" s="26"/>
      <c r="BE579" s="26"/>
      <c r="BF579" s="26"/>
      <c r="BG579" s="26"/>
      <c r="BH579" s="26"/>
      <c r="BI579" s="26"/>
      <c r="BJ579" s="26"/>
      <c r="BK579" s="26"/>
      <c r="BL579" s="26"/>
    </row>
    <row r="580" spans="1:64"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row>
    <row r="581" spans="1:64"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c r="AL581" s="26"/>
      <c r="AM581" s="26"/>
      <c r="AN581" s="26"/>
      <c r="AO581" s="26"/>
      <c r="AP581" s="26"/>
      <c r="AQ581" s="26"/>
      <c r="AR581" s="26"/>
      <c r="AS581" s="26"/>
      <c r="AT581" s="26"/>
      <c r="AU581" s="26"/>
      <c r="AV581" s="26"/>
      <c r="AW581" s="26"/>
      <c r="AX581" s="26"/>
      <c r="AY581" s="26"/>
      <c r="AZ581" s="26"/>
      <c r="BA581" s="26"/>
      <c r="BB581" s="26"/>
      <c r="BC581" s="26"/>
      <c r="BD581" s="26"/>
      <c r="BE581" s="26"/>
      <c r="BF581" s="26"/>
      <c r="BG581" s="26"/>
      <c r="BH581" s="26"/>
      <c r="BI581" s="26"/>
      <c r="BJ581" s="26"/>
      <c r="BK581" s="26"/>
      <c r="BL581" s="26"/>
    </row>
    <row r="582" spans="1:64"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row>
    <row r="583" spans="1:64"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c r="AL583" s="26"/>
      <c r="AM583" s="26"/>
      <c r="AN583" s="26"/>
      <c r="AO583" s="26"/>
      <c r="AP583" s="26"/>
      <c r="AQ583" s="26"/>
      <c r="AR583" s="26"/>
      <c r="AS583" s="26"/>
      <c r="AT583" s="26"/>
      <c r="AU583" s="26"/>
      <c r="AV583" s="26"/>
      <c r="AW583" s="26"/>
      <c r="AX583" s="26"/>
      <c r="AY583" s="26"/>
      <c r="AZ583" s="26"/>
      <c r="BA583" s="26"/>
      <c r="BB583" s="26"/>
      <c r="BC583" s="26"/>
      <c r="BD583" s="26"/>
      <c r="BE583" s="26"/>
      <c r="BF583" s="26"/>
      <c r="BG583" s="26"/>
      <c r="BH583" s="26"/>
      <c r="BI583" s="26"/>
      <c r="BJ583" s="26"/>
      <c r="BK583" s="26"/>
      <c r="BL583" s="26"/>
    </row>
    <row r="584" spans="1:6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row>
    <row r="585" spans="1:64"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c r="AN585" s="26"/>
      <c r="AO585" s="26"/>
      <c r="AP585" s="26"/>
      <c r="AQ585" s="26"/>
      <c r="AR585" s="26"/>
      <c r="AS585" s="26"/>
      <c r="AT585" s="26"/>
      <c r="AU585" s="26"/>
      <c r="AV585" s="26"/>
      <c r="AW585" s="26"/>
      <c r="AX585" s="26"/>
      <c r="AY585" s="26"/>
      <c r="AZ585" s="26"/>
      <c r="BA585" s="26"/>
      <c r="BB585" s="26"/>
      <c r="BC585" s="26"/>
      <c r="BD585" s="26"/>
      <c r="BE585" s="26"/>
      <c r="BF585" s="26"/>
      <c r="BG585" s="26"/>
      <c r="BH585" s="26"/>
      <c r="BI585" s="26"/>
      <c r="BJ585" s="26"/>
      <c r="BK585" s="26"/>
      <c r="BL585" s="26"/>
    </row>
    <row r="586" spans="1:64"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row>
    <row r="587" spans="1:64"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c r="AL587" s="26"/>
      <c r="AM587" s="26"/>
      <c r="AN587" s="26"/>
      <c r="AO587" s="26"/>
      <c r="AP587" s="26"/>
      <c r="AQ587" s="26"/>
      <c r="AR587" s="26"/>
      <c r="AS587" s="26"/>
      <c r="AT587" s="26"/>
      <c r="AU587" s="26"/>
      <c r="AV587" s="26"/>
      <c r="AW587" s="26"/>
      <c r="AX587" s="26"/>
      <c r="AY587" s="26"/>
      <c r="AZ587" s="26"/>
      <c r="BA587" s="26"/>
      <c r="BB587" s="26"/>
      <c r="BC587" s="26"/>
      <c r="BD587" s="26"/>
      <c r="BE587" s="26"/>
      <c r="BF587" s="26"/>
      <c r="BG587" s="26"/>
      <c r="BH587" s="26"/>
      <c r="BI587" s="26"/>
      <c r="BJ587" s="26"/>
      <c r="BK587" s="26"/>
      <c r="BL587" s="26"/>
    </row>
    <row r="588" spans="1:64"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row>
    <row r="589" spans="1:64"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c r="AR589" s="26"/>
      <c r="AS589" s="26"/>
      <c r="AT589" s="26"/>
      <c r="AU589" s="26"/>
      <c r="AV589" s="26"/>
      <c r="AW589" s="26"/>
      <c r="AX589" s="26"/>
      <c r="AY589" s="26"/>
      <c r="AZ589" s="26"/>
      <c r="BA589" s="26"/>
      <c r="BB589" s="26"/>
      <c r="BC589" s="26"/>
      <c r="BD589" s="26"/>
      <c r="BE589" s="26"/>
      <c r="BF589" s="26"/>
      <c r="BG589" s="26"/>
      <c r="BH589" s="26"/>
      <c r="BI589" s="26"/>
      <c r="BJ589" s="26"/>
      <c r="BK589" s="26"/>
      <c r="BL589" s="26"/>
    </row>
    <row r="590" spans="1:64"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row>
    <row r="591" spans="1:64"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c r="AL591" s="26"/>
      <c r="AM591" s="26"/>
      <c r="AN591" s="26"/>
      <c r="AO591" s="26"/>
      <c r="AP591" s="26"/>
      <c r="AQ591" s="26"/>
      <c r="AR591" s="26"/>
      <c r="AS591" s="26"/>
      <c r="AT591" s="26"/>
      <c r="AU591" s="26"/>
      <c r="AV591" s="26"/>
      <c r="AW591" s="26"/>
      <c r="AX591" s="26"/>
      <c r="AY591" s="26"/>
      <c r="AZ591" s="26"/>
      <c r="BA591" s="26"/>
      <c r="BB591" s="26"/>
      <c r="BC591" s="26"/>
      <c r="BD591" s="26"/>
      <c r="BE591" s="26"/>
      <c r="BF591" s="26"/>
      <c r="BG591" s="26"/>
      <c r="BH591" s="26"/>
      <c r="BI591" s="26"/>
      <c r="BJ591" s="26"/>
      <c r="BK591" s="26"/>
      <c r="BL591" s="26"/>
    </row>
    <row r="592" spans="1:64"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row>
    <row r="593" spans="1:64"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c r="AL593" s="26"/>
      <c r="AM593" s="26"/>
      <c r="AN593" s="26"/>
      <c r="AO593" s="26"/>
      <c r="AP593" s="26"/>
      <c r="AQ593" s="26"/>
      <c r="AR593" s="26"/>
      <c r="AS593" s="26"/>
      <c r="AT593" s="26"/>
      <c r="AU593" s="26"/>
      <c r="AV593" s="26"/>
      <c r="AW593" s="26"/>
      <c r="AX593" s="26"/>
      <c r="AY593" s="26"/>
      <c r="AZ593" s="26"/>
      <c r="BA593" s="26"/>
      <c r="BB593" s="26"/>
      <c r="BC593" s="26"/>
      <c r="BD593" s="26"/>
      <c r="BE593" s="26"/>
      <c r="BF593" s="26"/>
      <c r="BG593" s="26"/>
      <c r="BH593" s="26"/>
      <c r="BI593" s="26"/>
      <c r="BJ593" s="26"/>
      <c r="BK593" s="26"/>
      <c r="BL593" s="26"/>
    </row>
    <row r="594" spans="1:6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row>
    <row r="595" spans="1:64"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c r="AL595" s="26"/>
      <c r="AM595" s="26"/>
      <c r="AN595" s="26"/>
      <c r="AO595" s="26"/>
      <c r="AP595" s="26"/>
      <c r="AQ595" s="26"/>
      <c r="AR595" s="26"/>
      <c r="AS595" s="26"/>
      <c r="AT595" s="26"/>
      <c r="AU595" s="26"/>
      <c r="AV595" s="26"/>
      <c r="AW595" s="26"/>
      <c r="AX595" s="26"/>
      <c r="AY595" s="26"/>
      <c r="AZ595" s="26"/>
      <c r="BA595" s="26"/>
      <c r="BB595" s="26"/>
      <c r="BC595" s="26"/>
      <c r="BD595" s="26"/>
      <c r="BE595" s="26"/>
      <c r="BF595" s="26"/>
      <c r="BG595" s="26"/>
      <c r="BH595" s="26"/>
      <c r="BI595" s="26"/>
      <c r="BJ595" s="26"/>
      <c r="BK595" s="26"/>
      <c r="BL595" s="26"/>
    </row>
    <row r="596" spans="1:64"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row>
    <row r="597" spans="1:64"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c r="AL597" s="26"/>
      <c r="AM597" s="26"/>
      <c r="AN597" s="26"/>
      <c r="AO597" s="26"/>
      <c r="AP597" s="26"/>
      <c r="AQ597" s="26"/>
      <c r="AR597" s="26"/>
      <c r="AS597" s="26"/>
      <c r="AT597" s="26"/>
      <c r="AU597" s="26"/>
      <c r="AV597" s="26"/>
      <c r="AW597" s="26"/>
      <c r="AX597" s="26"/>
      <c r="AY597" s="26"/>
      <c r="AZ597" s="26"/>
      <c r="BA597" s="26"/>
      <c r="BB597" s="26"/>
      <c r="BC597" s="26"/>
      <c r="BD597" s="26"/>
      <c r="BE597" s="26"/>
      <c r="BF597" s="26"/>
      <c r="BG597" s="26"/>
      <c r="BH597" s="26"/>
      <c r="BI597" s="26"/>
      <c r="BJ597" s="26"/>
      <c r="BK597" s="26"/>
      <c r="BL597" s="26"/>
    </row>
    <row r="598" spans="1:64"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row>
    <row r="599" spans="1:64"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c r="AL599" s="26"/>
      <c r="AM599" s="26"/>
      <c r="AN599" s="26"/>
      <c r="AO599" s="26"/>
      <c r="AP599" s="26"/>
      <c r="AQ599" s="26"/>
      <c r="AR599" s="26"/>
      <c r="AS599" s="26"/>
      <c r="AT599" s="26"/>
      <c r="AU599" s="26"/>
      <c r="AV599" s="26"/>
      <c r="AW599" s="26"/>
      <c r="AX599" s="26"/>
      <c r="AY599" s="26"/>
      <c r="AZ599" s="26"/>
      <c r="BA599" s="26"/>
      <c r="BB599" s="26"/>
      <c r="BC599" s="26"/>
      <c r="BD599" s="26"/>
      <c r="BE599" s="26"/>
      <c r="BF599" s="26"/>
      <c r="BG599" s="26"/>
      <c r="BH599" s="26"/>
      <c r="BI599" s="26"/>
      <c r="BJ599" s="26"/>
      <c r="BK599" s="26"/>
      <c r="BL599" s="26"/>
    </row>
    <row r="600" spans="1:64"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row>
    <row r="601" spans="1:64"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c r="AL601" s="26"/>
      <c r="AM601" s="26"/>
      <c r="AN601" s="26"/>
      <c r="AO601" s="26"/>
      <c r="AP601" s="26"/>
      <c r="AQ601" s="26"/>
      <c r="AR601" s="26"/>
      <c r="AS601" s="26"/>
      <c r="AT601" s="26"/>
      <c r="AU601" s="26"/>
      <c r="AV601" s="26"/>
      <c r="AW601" s="26"/>
      <c r="AX601" s="26"/>
      <c r="AY601" s="26"/>
      <c r="AZ601" s="26"/>
      <c r="BA601" s="26"/>
      <c r="BB601" s="26"/>
      <c r="BC601" s="26"/>
      <c r="BD601" s="26"/>
      <c r="BE601" s="26"/>
      <c r="BF601" s="26"/>
      <c r="BG601" s="26"/>
      <c r="BH601" s="26"/>
      <c r="BI601" s="26"/>
      <c r="BJ601" s="26"/>
      <c r="BK601" s="26"/>
      <c r="BL601" s="26"/>
    </row>
    <row r="602" spans="1:64"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row>
    <row r="603" spans="1:64"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c r="AL603" s="26"/>
      <c r="AM603" s="26"/>
      <c r="AN603" s="26"/>
      <c r="AO603" s="26"/>
      <c r="AP603" s="26"/>
      <c r="AQ603" s="26"/>
      <c r="AR603" s="26"/>
      <c r="AS603" s="26"/>
      <c r="AT603" s="26"/>
      <c r="AU603" s="26"/>
      <c r="AV603" s="26"/>
      <c r="AW603" s="26"/>
      <c r="AX603" s="26"/>
      <c r="AY603" s="26"/>
      <c r="AZ603" s="26"/>
      <c r="BA603" s="26"/>
      <c r="BB603" s="26"/>
      <c r="BC603" s="26"/>
      <c r="BD603" s="26"/>
      <c r="BE603" s="26"/>
      <c r="BF603" s="26"/>
      <c r="BG603" s="26"/>
      <c r="BH603" s="26"/>
      <c r="BI603" s="26"/>
      <c r="BJ603" s="26"/>
      <c r="BK603" s="26"/>
      <c r="BL603" s="26"/>
    </row>
    <row r="604" spans="1:6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row>
    <row r="605" spans="1:64"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c r="AL605" s="26"/>
      <c r="AM605" s="26"/>
      <c r="AN605" s="26"/>
      <c r="AO605" s="26"/>
      <c r="AP605" s="26"/>
      <c r="AQ605" s="26"/>
      <c r="AR605" s="26"/>
      <c r="AS605" s="26"/>
      <c r="AT605" s="26"/>
      <c r="AU605" s="26"/>
      <c r="AV605" s="26"/>
      <c r="AW605" s="26"/>
      <c r="AX605" s="26"/>
      <c r="AY605" s="26"/>
      <c r="AZ605" s="26"/>
      <c r="BA605" s="26"/>
      <c r="BB605" s="26"/>
      <c r="BC605" s="26"/>
      <c r="BD605" s="26"/>
      <c r="BE605" s="26"/>
      <c r="BF605" s="26"/>
      <c r="BG605" s="26"/>
      <c r="BH605" s="26"/>
      <c r="BI605" s="26"/>
      <c r="BJ605" s="26"/>
      <c r="BK605" s="26"/>
      <c r="BL605" s="26"/>
    </row>
    <row r="606" spans="1:64"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row>
    <row r="607" spans="1:64"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c r="AL607" s="26"/>
      <c r="AM607" s="26"/>
      <c r="AN607" s="26"/>
      <c r="AO607" s="26"/>
      <c r="AP607" s="26"/>
      <c r="AQ607" s="26"/>
      <c r="AR607" s="26"/>
      <c r="AS607" s="26"/>
      <c r="AT607" s="26"/>
      <c r="AU607" s="26"/>
      <c r="AV607" s="26"/>
      <c r="AW607" s="26"/>
      <c r="AX607" s="26"/>
      <c r="AY607" s="26"/>
      <c r="AZ607" s="26"/>
      <c r="BA607" s="26"/>
      <c r="BB607" s="26"/>
      <c r="BC607" s="26"/>
      <c r="BD607" s="26"/>
      <c r="BE607" s="26"/>
      <c r="BF607" s="26"/>
      <c r="BG607" s="26"/>
      <c r="BH607" s="26"/>
      <c r="BI607" s="26"/>
      <c r="BJ607" s="26"/>
      <c r="BK607" s="26"/>
      <c r="BL607" s="26"/>
    </row>
    <row r="608" spans="1:64"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row>
    <row r="609" spans="1:64"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c r="AL609" s="26"/>
      <c r="AM609" s="26"/>
      <c r="AN609" s="26"/>
      <c r="AO609" s="26"/>
      <c r="AP609" s="26"/>
      <c r="AQ609" s="26"/>
      <c r="AR609" s="26"/>
      <c r="AS609" s="26"/>
      <c r="AT609" s="26"/>
      <c r="AU609" s="26"/>
      <c r="AV609" s="26"/>
      <c r="AW609" s="26"/>
      <c r="AX609" s="26"/>
      <c r="AY609" s="26"/>
      <c r="AZ609" s="26"/>
      <c r="BA609" s="26"/>
      <c r="BB609" s="26"/>
      <c r="BC609" s="26"/>
      <c r="BD609" s="26"/>
      <c r="BE609" s="26"/>
      <c r="BF609" s="26"/>
      <c r="BG609" s="26"/>
      <c r="BH609" s="26"/>
      <c r="BI609" s="26"/>
      <c r="BJ609" s="26"/>
      <c r="BK609" s="26"/>
      <c r="BL609" s="26"/>
    </row>
    <row r="610" spans="1:64"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row>
    <row r="611" spans="1:64"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c r="AL611" s="26"/>
      <c r="AM611" s="26"/>
      <c r="AN611" s="26"/>
      <c r="AO611" s="26"/>
      <c r="AP611" s="26"/>
      <c r="AQ611" s="26"/>
      <c r="AR611" s="26"/>
      <c r="AS611" s="26"/>
      <c r="AT611" s="26"/>
      <c r="AU611" s="26"/>
      <c r="AV611" s="26"/>
      <c r="AW611" s="26"/>
      <c r="AX611" s="26"/>
      <c r="AY611" s="26"/>
      <c r="AZ611" s="26"/>
      <c r="BA611" s="26"/>
      <c r="BB611" s="26"/>
      <c r="BC611" s="26"/>
      <c r="BD611" s="26"/>
      <c r="BE611" s="26"/>
      <c r="BF611" s="26"/>
      <c r="BG611" s="26"/>
      <c r="BH611" s="26"/>
      <c r="BI611" s="26"/>
      <c r="BJ611" s="26"/>
      <c r="BK611" s="26"/>
      <c r="BL611" s="26"/>
    </row>
    <row r="612" spans="1:64"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6"/>
      <c r="BG612" s="26"/>
      <c r="BH612" s="26"/>
      <c r="BI612" s="26"/>
      <c r="BJ612" s="26"/>
      <c r="BK612" s="26"/>
      <c r="BL612" s="26"/>
    </row>
    <row r="613" spans="1:64"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c r="AL613" s="26"/>
      <c r="AM613" s="26"/>
      <c r="AN613" s="26"/>
      <c r="AO613" s="26"/>
      <c r="AP613" s="26"/>
      <c r="AQ613" s="26"/>
      <c r="AR613" s="26"/>
      <c r="AS613" s="26"/>
      <c r="AT613" s="26"/>
      <c r="AU613" s="26"/>
      <c r="AV613" s="26"/>
      <c r="AW613" s="26"/>
      <c r="AX613" s="26"/>
      <c r="AY613" s="26"/>
      <c r="AZ613" s="26"/>
      <c r="BA613" s="26"/>
      <c r="BB613" s="26"/>
      <c r="BC613" s="26"/>
      <c r="BD613" s="26"/>
      <c r="BE613" s="26"/>
      <c r="BF613" s="26"/>
      <c r="BG613" s="26"/>
      <c r="BH613" s="26"/>
      <c r="BI613" s="26"/>
      <c r="BJ613" s="26"/>
      <c r="BK613" s="26"/>
      <c r="BL613" s="26"/>
    </row>
    <row r="614" spans="1:6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6"/>
      <c r="BG614" s="26"/>
      <c r="BH614" s="26"/>
      <c r="BI614" s="26"/>
      <c r="BJ614" s="26"/>
      <c r="BK614" s="26"/>
      <c r="BL614" s="26"/>
    </row>
    <row r="615" spans="1:64"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c r="AL615" s="26"/>
      <c r="AM615" s="26"/>
      <c r="AN615" s="26"/>
      <c r="AO615" s="26"/>
      <c r="AP615" s="26"/>
      <c r="AQ615" s="26"/>
      <c r="AR615" s="26"/>
      <c r="AS615" s="26"/>
      <c r="AT615" s="26"/>
      <c r="AU615" s="26"/>
      <c r="AV615" s="26"/>
      <c r="AW615" s="26"/>
      <c r="AX615" s="26"/>
      <c r="AY615" s="26"/>
      <c r="AZ615" s="26"/>
      <c r="BA615" s="26"/>
      <c r="BB615" s="26"/>
      <c r="BC615" s="26"/>
      <c r="BD615" s="26"/>
      <c r="BE615" s="26"/>
      <c r="BF615" s="26"/>
      <c r="BG615" s="26"/>
      <c r="BH615" s="26"/>
      <c r="BI615" s="26"/>
      <c r="BJ615" s="26"/>
      <c r="BK615" s="26"/>
      <c r="BL615" s="26"/>
    </row>
    <row r="616" spans="1:64"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6"/>
      <c r="BG616" s="26"/>
      <c r="BH616" s="26"/>
      <c r="BI616" s="26"/>
      <c r="BJ616" s="26"/>
      <c r="BK616" s="26"/>
      <c r="BL616" s="26"/>
    </row>
    <row r="617" spans="1:64"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c r="AL617" s="26"/>
      <c r="AM617" s="26"/>
      <c r="AN617" s="26"/>
      <c r="AO617" s="26"/>
      <c r="AP617" s="26"/>
      <c r="AQ617" s="26"/>
      <c r="AR617" s="26"/>
      <c r="AS617" s="26"/>
      <c r="AT617" s="26"/>
      <c r="AU617" s="26"/>
      <c r="AV617" s="26"/>
      <c r="AW617" s="26"/>
      <c r="AX617" s="26"/>
      <c r="AY617" s="26"/>
      <c r="AZ617" s="26"/>
      <c r="BA617" s="26"/>
      <c r="BB617" s="26"/>
      <c r="BC617" s="26"/>
      <c r="BD617" s="26"/>
      <c r="BE617" s="26"/>
      <c r="BF617" s="26"/>
      <c r="BG617" s="26"/>
      <c r="BH617" s="26"/>
      <c r="BI617" s="26"/>
      <c r="BJ617" s="26"/>
      <c r="BK617" s="26"/>
      <c r="BL617" s="26"/>
    </row>
    <row r="618" spans="1:64"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row>
    <row r="619" spans="1:64"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c r="AL619" s="26"/>
      <c r="AM619" s="26"/>
      <c r="AN619" s="26"/>
      <c r="AO619" s="26"/>
      <c r="AP619" s="26"/>
      <c r="AQ619" s="26"/>
      <c r="AR619" s="26"/>
      <c r="AS619" s="26"/>
      <c r="AT619" s="26"/>
      <c r="AU619" s="26"/>
      <c r="AV619" s="26"/>
      <c r="AW619" s="26"/>
      <c r="AX619" s="26"/>
      <c r="AY619" s="26"/>
      <c r="AZ619" s="26"/>
      <c r="BA619" s="26"/>
      <c r="BB619" s="26"/>
      <c r="BC619" s="26"/>
      <c r="BD619" s="26"/>
      <c r="BE619" s="26"/>
      <c r="BF619" s="26"/>
      <c r="BG619" s="26"/>
      <c r="BH619" s="26"/>
      <c r="BI619" s="26"/>
      <c r="BJ619" s="26"/>
      <c r="BK619" s="26"/>
      <c r="BL619" s="26"/>
    </row>
    <row r="620" spans="1:64"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row>
    <row r="621" spans="1:64"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c r="AL621" s="26"/>
      <c r="AM621" s="26"/>
      <c r="AN621" s="26"/>
      <c r="AO621" s="26"/>
      <c r="AP621" s="26"/>
      <c r="AQ621" s="26"/>
      <c r="AR621" s="26"/>
      <c r="AS621" s="26"/>
      <c r="AT621" s="26"/>
      <c r="AU621" s="26"/>
      <c r="AV621" s="26"/>
      <c r="AW621" s="26"/>
      <c r="AX621" s="26"/>
      <c r="AY621" s="26"/>
      <c r="AZ621" s="26"/>
      <c r="BA621" s="26"/>
      <c r="BB621" s="26"/>
      <c r="BC621" s="26"/>
      <c r="BD621" s="26"/>
      <c r="BE621" s="26"/>
      <c r="BF621" s="26"/>
      <c r="BG621" s="26"/>
      <c r="BH621" s="26"/>
      <c r="BI621" s="26"/>
      <c r="BJ621" s="26"/>
      <c r="BK621" s="26"/>
      <c r="BL621" s="26"/>
    </row>
    <row r="622" spans="1:64"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row>
    <row r="623" spans="1:64"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c r="AL623" s="26"/>
      <c r="AM623" s="26"/>
      <c r="AN623" s="26"/>
      <c r="AO623" s="26"/>
      <c r="AP623" s="26"/>
      <c r="AQ623" s="26"/>
      <c r="AR623" s="26"/>
      <c r="AS623" s="26"/>
      <c r="AT623" s="26"/>
      <c r="AU623" s="26"/>
      <c r="AV623" s="26"/>
      <c r="AW623" s="26"/>
      <c r="AX623" s="26"/>
      <c r="AY623" s="26"/>
      <c r="AZ623" s="26"/>
      <c r="BA623" s="26"/>
      <c r="BB623" s="26"/>
      <c r="BC623" s="26"/>
      <c r="BD623" s="26"/>
      <c r="BE623" s="26"/>
      <c r="BF623" s="26"/>
      <c r="BG623" s="26"/>
      <c r="BH623" s="26"/>
      <c r="BI623" s="26"/>
      <c r="BJ623" s="26"/>
      <c r="BK623" s="26"/>
      <c r="BL623" s="26"/>
    </row>
    <row r="624" spans="1:6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6"/>
      <c r="BG624" s="26"/>
      <c r="BH624" s="26"/>
      <c r="BI624" s="26"/>
      <c r="BJ624" s="26"/>
      <c r="BK624" s="26"/>
      <c r="BL624" s="26"/>
    </row>
    <row r="625" spans="1:64"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c r="AL625" s="26"/>
      <c r="AM625" s="26"/>
      <c r="AN625" s="26"/>
      <c r="AO625" s="26"/>
      <c r="AP625" s="26"/>
      <c r="AQ625" s="26"/>
      <c r="AR625" s="26"/>
      <c r="AS625" s="26"/>
      <c r="AT625" s="26"/>
      <c r="AU625" s="26"/>
      <c r="AV625" s="26"/>
      <c r="AW625" s="26"/>
      <c r="AX625" s="26"/>
      <c r="AY625" s="26"/>
      <c r="AZ625" s="26"/>
      <c r="BA625" s="26"/>
      <c r="BB625" s="26"/>
      <c r="BC625" s="26"/>
      <c r="BD625" s="26"/>
      <c r="BE625" s="26"/>
      <c r="BF625" s="26"/>
      <c r="BG625" s="26"/>
      <c r="BH625" s="26"/>
      <c r="BI625" s="26"/>
      <c r="BJ625" s="26"/>
      <c r="BK625" s="26"/>
      <c r="BL625" s="26"/>
    </row>
    <row r="626" spans="1:64"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6"/>
      <c r="BG626" s="26"/>
      <c r="BH626" s="26"/>
      <c r="BI626" s="26"/>
      <c r="BJ626" s="26"/>
      <c r="BK626" s="26"/>
      <c r="BL626" s="26"/>
    </row>
    <row r="627" spans="1:64"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c r="AL627" s="26"/>
      <c r="AM627" s="26"/>
      <c r="AN627" s="26"/>
      <c r="AO627" s="26"/>
      <c r="AP627" s="26"/>
      <c r="AQ627" s="26"/>
      <c r="AR627" s="26"/>
      <c r="AS627" s="26"/>
      <c r="AT627" s="26"/>
      <c r="AU627" s="26"/>
      <c r="AV627" s="26"/>
      <c r="AW627" s="26"/>
      <c r="AX627" s="26"/>
      <c r="AY627" s="26"/>
      <c r="AZ627" s="26"/>
      <c r="BA627" s="26"/>
      <c r="BB627" s="26"/>
      <c r="BC627" s="26"/>
      <c r="BD627" s="26"/>
      <c r="BE627" s="26"/>
      <c r="BF627" s="26"/>
      <c r="BG627" s="26"/>
      <c r="BH627" s="26"/>
      <c r="BI627" s="26"/>
      <c r="BJ627" s="26"/>
      <c r="BK627" s="26"/>
      <c r="BL627" s="26"/>
    </row>
    <row r="628" spans="1:64"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6"/>
      <c r="BG628" s="26"/>
      <c r="BH628" s="26"/>
      <c r="BI628" s="26"/>
      <c r="BJ628" s="26"/>
      <c r="BK628" s="26"/>
      <c r="BL628" s="26"/>
    </row>
    <row r="629" spans="1:64"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c r="AL629" s="26"/>
      <c r="AM629" s="26"/>
      <c r="AN629" s="26"/>
      <c r="AO629" s="26"/>
      <c r="AP629" s="26"/>
      <c r="AQ629" s="26"/>
      <c r="AR629" s="26"/>
      <c r="AS629" s="26"/>
      <c r="AT629" s="26"/>
      <c r="AU629" s="26"/>
      <c r="AV629" s="26"/>
      <c r="AW629" s="26"/>
      <c r="AX629" s="26"/>
      <c r="AY629" s="26"/>
      <c r="AZ629" s="26"/>
      <c r="BA629" s="26"/>
      <c r="BB629" s="26"/>
      <c r="BC629" s="26"/>
      <c r="BD629" s="26"/>
      <c r="BE629" s="26"/>
      <c r="BF629" s="26"/>
      <c r="BG629" s="26"/>
      <c r="BH629" s="26"/>
      <c r="BI629" s="26"/>
      <c r="BJ629" s="26"/>
      <c r="BK629" s="26"/>
      <c r="BL629" s="26"/>
    </row>
    <row r="630" spans="1:64"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6"/>
      <c r="BG630" s="26"/>
      <c r="BH630" s="26"/>
      <c r="BI630" s="26"/>
      <c r="BJ630" s="26"/>
      <c r="BK630" s="26"/>
      <c r="BL630" s="26"/>
    </row>
    <row r="631" spans="1:64"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c r="AL631" s="26"/>
      <c r="AM631" s="26"/>
      <c r="AN631" s="26"/>
      <c r="AO631" s="26"/>
      <c r="AP631" s="26"/>
      <c r="AQ631" s="26"/>
      <c r="AR631" s="26"/>
      <c r="AS631" s="26"/>
      <c r="AT631" s="26"/>
      <c r="AU631" s="26"/>
      <c r="AV631" s="26"/>
      <c r="AW631" s="26"/>
      <c r="AX631" s="26"/>
      <c r="AY631" s="26"/>
      <c r="AZ631" s="26"/>
      <c r="BA631" s="26"/>
      <c r="BB631" s="26"/>
      <c r="BC631" s="26"/>
      <c r="BD631" s="26"/>
      <c r="BE631" s="26"/>
      <c r="BF631" s="26"/>
      <c r="BG631" s="26"/>
      <c r="BH631" s="26"/>
      <c r="BI631" s="26"/>
      <c r="BJ631" s="26"/>
      <c r="BK631" s="26"/>
      <c r="BL631" s="26"/>
    </row>
    <row r="632" spans="1:64"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row>
    <row r="633" spans="1:64"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c r="AL633" s="26"/>
      <c r="AM633" s="26"/>
      <c r="AN633" s="26"/>
      <c r="AO633" s="26"/>
      <c r="AP633" s="26"/>
      <c r="AQ633" s="26"/>
      <c r="AR633" s="26"/>
      <c r="AS633" s="26"/>
      <c r="AT633" s="26"/>
      <c r="AU633" s="26"/>
      <c r="AV633" s="26"/>
      <c r="AW633" s="26"/>
      <c r="AX633" s="26"/>
      <c r="AY633" s="26"/>
      <c r="AZ633" s="26"/>
      <c r="BA633" s="26"/>
      <c r="BB633" s="26"/>
      <c r="BC633" s="26"/>
      <c r="BD633" s="26"/>
      <c r="BE633" s="26"/>
      <c r="BF633" s="26"/>
      <c r="BG633" s="26"/>
      <c r="BH633" s="26"/>
      <c r="BI633" s="26"/>
      <c r="BJ633" s="26"/>
      <c r="BK633" s="26"/>
      <c r="BL633" s="26"/>
    </row>
    <row r="634" spans="1:6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6"/>
      <c r="BG634" s="26"/>
      <c r="BH634" s="26"/>
      <c r="BI634" s="26"/>
      <c r="BJ634" s="26"/>
      <c r="BK634" s="26"/>
      <c r="BL634" s="26"/>
    </row>
    <row r="635" spans="1:64"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c r="AL635" s="26"/>
      <c r="AM635" s="26"/>
      <c r="AN635" s="26"/>
      <c r="AO635" s="26"/>
      <c r="AP635" s="26"/>
      <c r="AQ635" s="26"/>
      <c r="AR635" s="26"/>
      <c r="AS635" s="26"/>
      <c r="AT635" s="26"/>
      <c r="AU635" s="26"/>
      <c r="AV635" s="26"/>
      <c r="AW635" s="26"/>
      <c r="AX635" s="26"/>
      <c r="AY635" s="26"/>
      <c r="AZ635" s="26"/>
      <c r="BA635" s="26"/>
      <c r="BB635" s="26"/>
      <c r="BC635" s="26"/>
      <c r="BD635" s="26"/>
      <c r="BE635" s="26"/>
      <c r="BF635" s="26"/>
      <c r="BG635" s="26"/>
      <c r="BH635" s="26"/>
      <c r="BI635" s="26"/>
      <c r="BJ635" s="26"/>
      <c r="BK635" s="26"/>
      <c r="BL635" s="26"/>
    </row>
    <row r="636" spans="1:64"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row>
    <row r="637" spans="1:64"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c r="AL637" s="26"/>
      <c r="AM637" s="26"/>
      <c r="AN637" s="26"/>
      <c r="AO637" s="26"/>
      <c r="AP637" s="26"/>
      <c r="AQ637" s="26"/>
      <c r="AR637" s="26"/>
      <c r="AS637" s="26"/>
      <c r="AT637" s="26"/>
      <c r="AU637" s="26"/>
      <c r="AV637" s="26"/>
      <c r="AW637" s="26"/>
      <c r="AX637" s="26"/>
      <c r="AY637" s="26"/>
      <c r="AZ637" s="26"/>
      <c r="BA637" s="26"/>
      <c r="BB637" s="26"/>
      <c r="BC637" s="26"/>
      <c r="BD637" s="26"/>
      <c r="BE637" s="26"/>
      <c r="BF637" s="26"/>
      <c r="BG637" s="26"/>
      <c r="BH637" s="26"/>
      <c r="BI637" s="26"/>
      <c r="BJ637" s="26"/>
      <c r="BK637" s="26"/>
      <c r="BL637" s="26"/>
    </row>
    <row r="638" spans="1:64"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6"/>
      <c r="BG638" s="26"/>
      <c r="BH638" s="26"/>
      <c r="BI638" s="26"/>
      <c r="BJ638" s="26"/>
      <c r="BK638" s="26"/>
      <c r="BL638" s="26"/>
    </row>
    <row r="639" spans="1:64"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c r="AL639" s="26"/>
      <c r="AM639" s="26"/>
      <c r="AN639" s="26"/>
      <c r="AO639" s="26"/>
      <c r="AP639" s="26"/>
      <c r="AQ639" s="26"/>
      <c r="AR639" s="26"/>
      <c r="AS639" s="26"/>
      <c r="AT639" s="26"/>
      <c r="AU639" s="26"/>
      <c r="AV639" s="26"/>
      <c r="AW639" s="26"/>
      <c r="AX639" s="26"/>
      <c r="AY639" s="26"/>
      <c r="AZ639" s="26"/>
      <c r="BA639" s="26"/>
      <c r="BB639" s="26"/>
      <c r="BC639" s="26"/>
      <c r="BD639" s="26"/>
      <c r="BE639" s="26"/>
      <c r="BF639" s="26"/>
      <c r="BG639" s="26"/>
      <c r="BH639" s="26"/>
      <c r="BI639" s="26"/>
      <c r="BJ639" s="26"/>
      <c r="BK639" s="26"/>
      <c r="BL639" s="26"/>
    </row>
    <row r="640" spans="1:64"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row>
    <row r="641" spans="1:64"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c r="AL641" s="26"/>
      <c r="AM641" s="26"/>
      <c r="AN641" s="26"/>
      <c r="AO641" s="26"/>
      <c r="AP641" s="26"/>
      <c r="AQ641" s="26"/>
      <c r="AR641" s="26"/>
      <c r="AS641" s="26"/>
      <c r="AT641" s="26"/>
      <c r="AU641" s="26"/>
      <c r="AV641" s="26"/>
      <c r="AW641" s="26"/>
      <c r="AX641" s="26"/>
      <c r="AY641" s="26"/>
      <c r="AZ641" s="26"/>
      <c r="BA641" s="26"/>
      <c r="BB641" s="26"/>
      <c r="BC641" s="26"/>
      <c r="BD641" s="26"/>
      <c r="BE641" s="26"/>
      <c r="BF641" s="26"/>
      <c r="BG641" s="26"/>
      <c r="BH641" s="26"/>
      <c r="BI641" s="26"/>
      <c r="BJ641" s="26"/>
      <c r="BK641" s="26"/>
      <c r="BL641" s="26"/>
    </row>
    <row r="642" spans="1:64"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row>
    <row r="643" spans="1:64"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c r="AN643" s="26"/>
      <c r="AO643" s="26"/>
      <c r="AP643" s="26"/>
      <c r="AQ643" s="26"/>
      <c r="AR643" s="26"/>
      <c r="AS643" s="26"/>
      <c r="AT643" s="26"/>
      <c r="AU643" s="26"/>
      <c r="AV643" s="26"/>
      <c r="AW643" s="26"/>
      <c r="AX643" s="26"/>
      <c r="AY643" s="26"/>
      <c r="AZ643" s="26"/>
      <c r="BA643" s="26"/>
      <c r="BB643" s="26"/>
      <c r="BC643" s="26"/>
      <c r="BD643" s="26"/>
      <c r="BE643" s="26"/>
      <c r="BF643" s="26"/>
      <c r="BG643" s="26"/>
      <c r="BH643" s="26"/>
      <c r="BI643" s="26"/>
      <c r="BJ643" s="26"/>
      <c r="BK643" s="26"/>
      <c r="BL643" s="26"/>
    </row>
    <row r="644" spans="1:6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row>
    <row r="645" spans="1:64"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c r="AN645" s="26"/>
      <c r="AO645" s="26"/>
      <c r="AP645" s="26"/>
      <c r="AQ645" s="26"/>
      <c r="AR645" s="26"/>
      <c r="AS645" s="26"/>
      <c r="AT645" s="26"/>
      <c r="AU645" s="26"/>
      <c r="AV645" s="26"/>
      <c r="AW645" s="26"/>
      <c r="AX645" s="26"/>
      <c r="AY645" s="26"/>
      <c r="AZ645" s="26"/>
      <c r="BA645" s="26"/>
      <c r="BB645" s="26"/>
      <c r="BC645" s="26"/>
      <c r="BD645" s="26"/>
      <c r="BE645" s="26"/>
      <c r="BF645" s="26"/>
      <c r="BG645" s="26"/>
      <c r="BH645" s="26"/>
      <c r="BI645" s="26"/>
      <c r="BJ645" s="26"/>
      <c r="BK645" s="26"/>
      <c r="BL645" s="26"/>
    </row>
    <row r="646" spans="1:64"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row>
    <row r="647" spans="1:64"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c r="AN647" s="26"/>
      <c r="AO647" s="26"/>
      <c r="AP647" s="26"/>
      <c r="AQ647" s="26"/>
      <c r="AR647" s="26"/>
      <c r="AS647" s="26"/>
      <c r="AT647" s="26"/>
      <c r="AU647" s="26"/>
      <c r="AV647" s="26"/>
      <c r="AW647" s="26"/>
      <c r="AX647" s="26"/>
      <c r="AY647" s="26"/>
      <c r="AZ647" s="26"/>
      <c r="BA647" s="26"/>
      <c r="BB647" s="26"/>
      <c r="BC647" s="26"/>
      <c r="BD647" s="26"/>
      <c r="BE647" s="26"/>
      <c r="BF647" s="26"/>
      <c r="BG647" s="26"/>
      <c r="BH647" s="26"/>
      <c r="BI647" s="26"/>
      <c r="BJ647" s="26"/>
      <c r="BK647" s="26"/>
      <c r="BL647" s="26"/>
    </row>
    <row r="648" spans="1:64"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row>
    <row r="649" spans="1:64"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c r="AN649" s="26"/>
      <c r="AO649" s="26"/>
      <c r="AP649" s="26"/>
      <c r="AQ649" s="26"/>
      <c r="AR649" s="26"/>
      <c r="AS649" s="26"/>
      <c r="AT649" s="26"/>
      <c r="AU649" s="26"/>
      <c r="AV649" s="26"/>
      <c r="AW649" s="26"/>
      <c r="AX649" s="26"/>
      <c r="AY649" s="26"/>
      <c r="AZ649" s="26"/>
      <c r="BA649" s="26"/>
      <c r="BB649" s="26"/>
      <c r="BC649" s="26"/>
      <c r="BD649" s="26"/>
      <c r="BE649" s="26"/>
      <c r="BF649" s="26"/>
      <c r="BG649" s="26"/>
      <c r="BH649" s="26"/>
      <c r="BI649" s="26"/>
      <c r="BJ649" s="26"/>
      <c r="BK649" s="26"/>
      <c r="BL649" s="26"/>
    </row>
    <row r="650" spans="1:64"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row>
    <row r="651" spans="1:64"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c r="AN651" s="26"/>
      <c r="AO651" s="26"/>
      <c r="AP651" s="26"/>
      <c r="AQ651" s="26"/>
      <c r="AR651" s="26"/>
      <c r="AS651" s="26"/>
      <c r="AT651" s="26"/>
      <c r="AU651" s="26"/>
      <c r="AV651" s="26"/>
      <c r="AW651" s="26"/>
      <c r="AX651" s="26"/>
      <c r="AY651" s="26"/>
      <c r="AZ651" s="26"/>
      <c r="BA651" s="26"/>
      <c r="BB651" s="26"/>
      <c r="BC651" s="26"/>
      <c r="BD651" s="26"/>
      <c r="BE651" s="26"/>
      <c r="BF651" s="26"/>
      <c r="BG651" s="26"/>
      <c r="BH651" s="26"/>
      <c r="BI651" s="26"/>
      <c r="BJ651" s="26"/>
      <c r="BK651" s="26"/>
      <c r="BL651" s="26"/>
    </row>
    <row r="652" spans="1:64"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row>
    <row r="653" spans="1:64"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c r="AN653" s="26"/>
      <c r="AO653" s="26"/>
      <c r="AP653" s="26"/>
      <c r="AQ653" s="26"/>
      <c r="AR653" s="26"/>
      <c r="AS653" s="26"/>
      <c r="AT653" s="26"/>
      <c r="AU653" s="26"/>
      <c r="AV653" s="26"/>
      <c r="AW653" s="26"/>
      <c r="AX653" s="26"/>
      <c r="AY653" s="26"/>
      <c r="AZ653" s="26"/>
      <c r="BA653" s="26"/>
      <c r="BB653" s="26"/>
      <c r="BC653" s="26"/>
      <c r="BD653" s="26"/>
      <c r="BE653" s="26"/>
      <c r="BF653" s="26"/>
      <c r="BG653" s="26"/>
      <c r="BH653" s="26"/>
      <c r="BI653" s="26"/>
      <c r="BJ653" s="26"/>
      <c r="BK653" s="26"/>
      <c r="BL653" s="26"/>
    </row>
    <row r="654" spans="1:6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row>
    <row r="655" spans="1:64"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c r="AN655" s="26"/>
      <c r="AO655" s="26"/>
      <c r="AP655" s="26"/>
      <c r="AQ655" s="26"/>
      <c r="AR655" s="26"/>
      <c r="AS655" s="26"/>
      <c r="AT655" s="26"/>
      <c r="AU655" s="26"/>
      <c r="AV655" s="26"/>
      <c r="AW655" s="26"/>
      <c r="AX655" s="26"/>
      <c r="AY655" s="26"/>
      <c r="AZ655" s="26"/>
      <c r="BA655" s="26"/>
      <c r="BB655" s="26"/>
      <c r="BC655" s="26"/>
      <c r="BD655" s="26"/>
      <c r="BE655" s="26"/>
      <c r="BF655" s="26"/>
      <c r="BG655" s="26"/>
      <c r="BH655" s="26"/>
      <c r="BI655" s="26"/>
      <c r="BJ655" s="26"/>
      <c r="BK655" s="26"/>
      <c r="BL655" s="26"/>
    </row>
    <row r="656" spans="1:64"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row>
    <row r="657" spans="1:64"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c r="AN657" s="26"/>
      <c r="AO657" s="26"/>
      <c r="AP657" s="26"/>
      <c r="AQ657" s="26"/>
      <c r="AR657" s="26"/>
      <c r="AS657" s="26"/>
      <c r="AT657" s="26"/>
      <c r="AU657" s="26"/>
      <c r="AV657" s="26"/>
      <c r="AW657" s="26"/>
      <c r="AX657" s="26"/>
      <c r="AY657" s="26"/>
      <c r="AZ657" s="26"/>
      <c r="BA657" s="26"/>
      <c r="BB657" s="26"/>
      <c r="BC657" s="26"/>
      <c r="BD657" s="26"/>
      <c r="BE657" s="26"/>
      <c r="BF657" s="26"/>
      <c r="BG657" s="26"/>
      <c r="BH657" s="26"/>
      <c r="BI657" s="26"/>
      <c r="BJ657" s="26"/>
      <c r="BK657" s="26"/>
      <c r="BL657" s="26"/>
    </row>
    <row r="658" spans="1:64"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row>
    <row r="659" spans="1:64"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c r="AN659" s="26"/>
      <c r="AO659" s="26"/>
      <c r="AP659" s="26"/>
      <c r="AQ659" s="26"/>
      <c r="AR659" s="26"/>
      <c r="AS659" s="26"/>
      <c r="AT659" s="26"/>
      <c r="AU659" s="26"/>
      <c r="AV659" s="26"/>
      <c r="AW659" s="26"/>
      <c r="AX659" s="26"/>
      <c r="AY659" s="26"/>
      <c r="AZ659" s="26"/>
      <c r="BA659" s="26"/>
      <c r="BB659" s="26"/>
      <c r="BC659" s="26"/>
      <c r="BD659" s="26"/>
      <c r="BE659" s="26"/>
      <c r="BF659" s="26"/>
      <c r="BG659" s="26"/>
      <c r="BH659" s="26"/>
      <c r="BI659" s="26"/>
      <c r="BJ659" s="26"/>
      <c r="BK659" s="26"/>
      <c r="BL659" s="26"/>
    </row>
    <row r="660" spans="1:64"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row>
    <row r="661" spans="1:64"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c r="AN661" s="26"/>
      <c r="AO661" s="26"/>
      <c r="AP661" s="26"/>
      <c r="AQ661" s="26"/>
      <c r="AR661" s="26"/>
      <c r="AS661" s="26"/>
      <c r="AT661" s="26"/>
      <c r="AU661" s="26"/>
      <c r="AV661" s="26"/>
      <c r="AW661" s="26"/>
      <c r="AX661" s="26"/>
      <c r="AY661" s="26"/>
      <c r="AZ661" s="26"/>
      <c r="BA661" s="26"/>
      <c r="BB661" s="26"/>
      <c r="BC661" s="26"/>
      <c r="BD661" s="26"/>
      <c r="BE661" s="26"/>
      <c r="BF661" s="26"/>
      <c r="BG661" s="26"/>
      <c r="BH661" s="26"/>
      <c r="BI661" s="26"/>
      <c r="BJ661" s="26"/>
      <c r="BK661" s="26"/>
      <c r="BL661" s="26"/>
    </row>
    <row r="662" spans="1:64"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row>
    <row r="663" spans="1:64"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c r="AN663" s="26"/>
      <c r="AO663" s="26"/>
      <c r="AP663" s="26"/>
      <c r="AQ663" s="26"/>
      <c r="AR663" s="26"/>
      <c r="AS663" s="26"/>
      <c r="AT663" s="26"/>
      <c r="AU663" s="26"/>
      <c r="AV663" s="26"/>
      <c r="AW663" s="26"/>
      <c r="AX663" s="26"/>
      <c r="AY663" s="26"/>
      <c r="AZ663" s="26"/>
      <c r="BA663" s="26"/>
      <c r="BB663" s="26"/>
      <c r="BC663" s="26"/>
      <c r="BD663" s="26"/>
      <c r="BE663" s="26"/>
      <c r="BF663" s="26"/>
      <c r="BG663" s="26"/>
      <c r="BH663" s="26"/>
      <c r="BI663" s="26"/>
      <c r="BJ663" s="26"/>
      <c r="BK663" s="26"/>
      <c r="BL663" s="26"/>
    </row>
    <row r="664" spans="1: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row>
    <row r="665" spans="1:64"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c r="AN665" s="26"/>
      <c r="AO665" s="26"/>
      <c r="AP665" s="26"/>
      <c r="AQ665" s="26"/>
      <c r="AR665" s="26"/>
      <c r="AS665" s="26"/>
      <c r="AT665" s="26"/>
      <c r="AU665" s="26"/>
      <c r="AV665" s="26"/>
      <c r="AW665" s="26"/>
      <c r="AX665" s="26"/>
      <c r="AY665" s="26"/>
      <c r="AZ665" s="26"/>
      <c r="BA665" s="26"/>
      <c r="BB665" s="26"/>
      <c r="BC665" s="26"/>
      <c r="BD665" s="26"/>
      <c r="BE665" s="26"/>
      <c r="BF665" s="26"/>
      <c r="BG665" s="26"/>
      <c r="BH665" s="26"/>
      <c r="BI665" s="26"/>
      <c r="BJ665" s="26"/>
      <c r="BK665" s="26"/>
      <c r="BL665" s="26"/>
    </row>
    <row r="666" spans="1:64"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row>
    <row r="667" spans="1:64"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c r="AN667" s="26"/>
      <c r="AO667" s="26"/>
      <c r="AP667" s="26"/>
      <c r="AQ667" s="26"/>
      <c r="AR667" s="26"/>
      <c r="AS667" s="26"/>
      <c r="AT667" s="26"/>
      <c r="AU667" s="26"/>
      <c r="AV667" s="26"/>
      <c r="AW667" s="26"/>
      <c r="AX667" s="26"/>
      <c r="AY667" s="26"/>
      <c r="AZ667" s="26"/>
      <c r="BA667" s="26"/>
      <c r="BB667" s="26"/>
      <c r="BC667" s="26"/>
      <c r="BD667" s="26"/>
      <c r="BE667" s="26"/>
      <c r="BF667" s="26"/>
      <c r="BG667" s="26"/>
      <c r="BH667" s="26"/>
      <c r="BI667" s="26"/>
      <c r="BJ667" s="26"/>
      <c r="BK667" s="26"/>
      <c r="BL667" s="26"/>
    </row>
    <row r="668" spans="1:64"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row>
    <row r="669" spans="1:64"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c r="AN669" s="26"/>
      <c r="AO669" s="26"/>
      <c r="AP669" s="26"/>
      <c r="AQ669" s="26"/>
      <c r="AR669" s="26"/>
      <c r="AS669" s="26"/>
      <c r="AT669" s="26"/>
      <c r="AU669" s="26"/>
      <c r="AV669" s="26"/>
      <c r="AW669" s="26"/>
      <c r="AX669" s="26"/>
      <c r="AY669" s="26"/>
      <c r="AZ669" s="26"/>
      <c r="BA669" s="26"/>
      <c r="BB669" s="26"/>
      <c r="BC669" s="26"/>
      <c r="BD669" s="26"/>
      <c r="BE669" s="26"/>
      <c r="BF669" s="26"/>
      <c r="BG669" s="26"/>
      <c r="BH669" s="26"/>
      <c r="BI669" s="26"/>
      <c r="BJ669" s="26"/>
      <c r="BK669" s="26"/>
      <c r="BL669" s="26"/>
    </row>
    <row r="670" spans="1:64"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row>
    <row r="671" spans="1:64"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c r="AN671" s="26"/>
      <c r="AO671" s="26"/>
      <c r="AP671" s="26"/>
      <c r="AQ671" s="26"/>
      <c r="AR671" s="26"/>
      <c r="AS671" s="26"/>
      <c r="AT671" s="26"/>
      <c r="AU671" s="26"/>
      <c r="AV671" s="26"/>
      <c r="AW671" s="26"/>
      <c r="AX671" s="26"/>
      <c r="AY671" s="26"/>
      <c r="AZ671" s="26"/>
      <c r="BA671" s="26"/>
      <c r="BB671" s="26"/>
      <c r="BC671" s="26"/>
      <c r="BD671" s="26"/>
      <c r="BE671" s="26"/>
      <c r="BF671" s="26"/>
      <c r="BG671" s="26"/>
      <c r="BH671" s="26"/>
      <c r="BI671" s="26"/>
      <c r="BJ671" s="26"/>
      <c r="BK671" s="26"/>
      <c r="BL671" s="26"/>
    </row>
    <row r="672" spans="1:64"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row>
    <row r="673" spans="1:64"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c r="AN673" s="26"/>
      <c r="AO673" s="26"/>
      <c r="AP673" s="26"/>
      <c r="AQ673" s="26"/>
      <c r="AR673" s="26"/>
      <c r="AS673" s="26"/>
      <c r="AT673" s="26"/>
      <c r="AU673" s="26"/>
      <c r="AV673" s="26"/>
      <c r="AW673" s="26"/>
      <c r="AX673" s="26"/>
      <c r="AY673" s="26"/>
      <c r="AZ673" s="26"/>
      <c r="BA673" s="26"/>
      <c r="BB673" s="26"/>
      <c r="BC673" s="26"/>
      <c r="BD673" s="26"/>
      <c r="BE673" s="26"/>
      <c r="BF673" s="26"/>
      <c r="BG673" s="26"/>
      <c r="BH673" s="26"/>
      <c r="BI673" s="26"/>
      <c r="BJ673" s="26"/>
      <c r="BK673" s="26"/>
      <c r="BL673" s="26"/>
    </row>
    <row r="674" spans="1:6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row>
    <row r="675" spans="1:64"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c r="AN675" s="26"/>
      <c r="AO675" s="26"/>
      <c r="AP675" s="26"/>
      <c r="AQ675" s="26"/>
      <c r="AR675" s="26"/>
      <c r="AS675" s="26"/>
      <c r="AT675" s="26"/>
      <c r="AU675" s="26"/>
      <c r="AV675" s="26"/>
      <c r="AW675" s="26"/>
      <c r="AX675" s="26"/>
      <c r="AY675" s="26"/>
      <c r="AZ675" s="26"/>
      <c r="BA675" s="26"/>
      <c r="BB675" s="26"/>
      <c r="BC675" s="26"/>
      <c r="BD675" s="26"/>
      <c r="BE675" s="26"/>
      <c r="BF675" s="26"/>
      <c r="BG675" s="26"/>
      <c r="BH675" s="26"/>
      <c r="BI675" s="26"/>
      <c r="BJ675" s="26"/>
      <c r="BK675" s="26"/>
      <c r="BL675" s="26"/>
    </row>
    <row r="676" spans="1:64"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row>
    <row r="677" spans="1:64"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c r="AN677" s="26"/>
      <c r="AO677" s="26"/>
      <c r="AP677" s="26"/>
      <c r="AQ677" s="26"/>
      <c r="AR677" s="26"/>
      <c r="AS677" s="26"/>
      <c r="AT677" s="26"/>
      <c r="AU677" s="26"/>
      <c r="AV677" s="26"/>
      <c r="AW677" s="26"/>
      <c r="AX677" s="26"/>
      <c r="AY677" s="26"/>
      <c r="AZ677" s="26"/>
      <c r="BA677" s="26"/>
      <c r="BB677" s="26"/>
      <c r="BC677" s="26"/>
      <c r="BD677" s="26"/>
      <c r="BE677" s="26"/>
      <c r="BF677" s="26"/>
      <c r="BG677" s="26"/>
      <c r="BH677" s="26"/>
      <c r="BI677" s="26"/>
      <c r="BJ677" s="26"/>
      <c r="BK677" s="26"/>
      <c r="BL677" s="26"/>
    </row>
    <row r="678" spans="1:64"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row>
    <row r="679" spans="1:64"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c r="AN679" s="26"/>
      <c r="AO679" s="26"/>
      <c r="AP679" s="26"/>
      <c r="AQ679" s="26"/>
      <c r="AR679" s="26"/>
      <c r="AS679" s="26"/>
      <c r="AT679" s="26"/>
      <c r="AU679" s="26"/>
      <c r="AV679" s="26"/>
      <c r="AW679" s="26"/>
      <c r="AX679" s="26"/>
      <c r="AY679" s="26"/>
      <c r="AZ679" s="26"/>
      <c r="BA679" s="26"/>
      <c r="BB679" s="26"/>
      <c r="BC679" s="26"/>
      <c r="BD679" s="26"/>
      <c r="BE679" s="26"/>
      <c r="BF679" s="26"/>
      <c r="BG679" s="26"/>
      <c r="BH679" s="26"/>
      <c r="BI679" s="26"/>
      <c r="BJ679" s="26"/>
      <c r="BK679" s="26"/>
      <c r="BL679" s="26"/>
    </row>
    <row r="680" spans="1:64"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row>
    <row r="681" spans="1:64"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c r="AN681" s="26"/>
      <c r="AO681" s="26"/>
      <c r="AP681" s="26"/>
      <c r="AQ681" s="26"/>
      <c r="AR681" s="26"/>
      <c r="AS681" s="26"/>
      <c r="AT681" s="26"/>
      <c r="AU681" s="26"/>
      <c r="AV681" s="26"/>
      <c r="AW681" s="26"/>
      <c r="AX681" s="26"/>
      <c r="AY681" s="26"/>
      <c r="AZ681" s="26"/>
      <c r="BA681" s="26"/>
      <c r="BB681" s="26"/>
      <c r="BC681" s="26"/>
      <c r="BD681" s="26"/>
      <c r="BE681" s="26"/>
      <c r="BF681" s="26"/>
      <c r="BG681" s="26"/>
      <c r="BH681" s="26"/>
      <c r="BI681" s="26"/>
      <c r="BJ681" s="26"/>
      <c r="BK681" s="26"/>
      <c r="BL681" s="26"/>
    </row>
    <row r="682" spans="1:64"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row>
    <row r="683" spans="1:64"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c r="AN683" s="26"/>
      <c r="AO683" s="26"/>
      <c r="AP683" s="26"/>
      <c r="AQ683" s="26"/>
      <c r="AR683" s="26"/>
      <c r="AS683" s="26"/>
      <c r="AT683" s="26"/>
      <c r="AU683" s="26"/>
      <c r="AV683" s="26"/>
      <c r="AW683" s="26"/>
      <c r="AX683" s="26"/>
      <c r="AY683" s="26"/>
      <c r="AZ683" s="26"/>
      <c r="BA683" s="26"/>
      <c r="BB683" s="26"/>
      <c r="BC683" s="26"/>
      <c r="BD683" s="26"/>
      <c r="BE683" s="26"/>
      <c r="BF683" s="26"/>
      <c r="BG683" s="26"/>
      <c r="BH683" s="26"/>
      <c r="BI683" s="26"/>
      <c r="BJ683" s="26"/>
      <c r="BK683" s="26"/>
      <c r="BL683" s="26"/>
    </row>
    <row r="684" spans="1:6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row>
    <row r="685" spans="1:64"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c r="AN685" s="26"/>
      <c r="AO685" s="26"/>
      <c r="AP685" s="26"/>
      <c r="AQ685" s="26"/>
      <c r="AR685" s="26"/>
      <c r="AS685" s="26"/>
      <c r="AT685" s="26"/>
      <c r="AU685" s="26"/>
      <c r="AV685" s="26"/>
      <c r="AW685" s="26"/>
      <c r="AX685" s="26"/>
      <c r="AY685" s="26"/>
      <c r="AZ685" s="26"/>
      <c r="BA685" s="26"/>
      <c r="BB685" s="26"/>
      <c r="BC685" s="26"/>
      <c r="BD685" s="26"/>
      <c r="BE685" s="26"/>
      <c r="BF685" s="26"/>
      <c r="BG685" s="26"/>
      <c r="BH685" s="26"/>
      <c r="BI685" s="26"/>
      <c r="BJ685" s="26"/>
      <c r="BK685" s="26"/>
      <c r="BL685" s="26"/>
    </row>
    <row r="686" spans="1:64"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row>
    <row r="687" spans="1:64"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c r="AN687" s="26"/>
      <c r="AO687" s="26"/>
      <c r="AP687" s="26"/>
      <c r="AQ687" s="26"/>
      <c r="AR687" s="26"/>
      <c r="AS687" s="26"/>
      <c r="AT687" s="26"/>
      <c r="AU687" s="26"/>
      <c r="AV687" s="26"/>
      <c r="AW687" s="26"/>
      <c r="AX687" s="26"/>
      <c r="AY687" s="26"/>
      <c r="AZ687" s="26"/>
      <c r="BA687" s="26"/>
      <c r="BB687" s="26"/>
      <c r="BC687" s="26"/>
      <c r="BD687" s="26"/>
      <c r="BE687" s="26"/>
      <c r="BF687" s="26"/>
      <c r="BG687" s="26"/>
      <c r="BH687" s="26"/>
      <c r="BI687" s="26"/>
      <c r="BJ687" s="26"/>
      <c r="BK687" s="26"/>
      <c r="BL687" s="26"/>
    </row>
    <row r="688" spans="1:64"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row>
    <row r="689" spans="1:64"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c r="AN689" s="26"/>
      <c r="AO689" s="26"/>
      <c r="AP689" s="26"/>
      <c r="AQ689" s="26"/>
      <c r="AR689" s="26"/>
      <c r="AS689" s="26"/>
      <c r="AT689" s="26"/>
      <c r="AU689" s="26"/>
      <c r="AV689" s="26"/>
      <c r="AW689" s="26"/>
      <c r="AX689" s="26"/>
      <c r="AY689" s="26"/>
      <c r="AZ689" s="26"/>
      <c r="BA689" s="26"/>
      <c r="BB689" s="26"/>
      <c r="BC689" s="26"/>
      <c r="BD689" s="26"/>
      <c r="BE689" s="26"/>
      <c r="BF689" s="26"/>
      <c r="BG689" s="26"/>
      <c r="BH689" s="26"/>
      <c r="BI689" s="26"/>
      <c r="BJ689" s="26"/>
      <c r="BK689" s="26"/>
      <c r="BL689" s="26"/>
    </row>
    <row r="690" spans="1:64"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row>
    <row r="691" spans="1:64"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6"/>
      <c r="BG691" s="26"/>
      <c r="BH691" s="26"/>
      <c r="BI691" s="26"/>
      <c r="BJ691" s="26"/>
      <c r="BK691" s="26"/>
      <c r="BL691" s="26"/>
    </row>
    <row r="692" spans="1:64"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row>
    <row r="693" spans="1:64"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c r="AN693" s="26"/>
      <c r="AO693" s="26"/>
      <c r="AP693" s="26"/>
      <c r="AQ693" s="26"/>
      <c r="AR693" s="26"/>
      <c r="AS693" s="26"/>
      <c r="AT693" s="26"/>
      <c r="AU693" s="26"/>
      <c r="AV693" s="26"/>
      <c r="AW693" s="26"/>
      <c r="AX693" s="26"/>
      <c r="AY693" s="26"/>
      <c r="AZ693" s="26"/>
      <c r="BA693" s="26"/>
      <c r="BB693" s="26"/>
      <c r="BC693" s="26"/>
      <c r="BD693" s="26"/>
      <c r="BE693" s="26"/>
      <c r="BF693" s="26"/>
      <c r="BG693" s="26"/>
      <c r="BH693" s="26"/>
      <c r="BI693" s="26"/>
      <c r="BJ693" s="26"/>
      <c r="BK693" s="26"/>
      <c r="BL693" s="26"/>
    </row>
    <row r="694" spans="1:6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row>
    <row r="695" spans="1:64"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c r="AN695" s="26"/>
      <c r="AO695" s="26"/>
      <c r="AP695" s="26"/>
      <c r="AQ695" s="26"/>
      <c r="AR695" s="26"/>
      <c r="AS695" s="26"/>
      <c r="AT695" s="26"/>
      <c r="AU695" s="26"/>
      <c r="AV695" s="26"/>
      <c r="AW695" s="26"/>
      <c r="AX695" s="26"/>
      <c r="AY695" s="26"/>
      <c r="AZ695" s="26"/>
      <c r="BA695" s="26"/>
      <c r="BB695" s="26"/>
      <c r="BC695" s="26"/>
      <c r="BD695" s="26"/>
      <c r="BE695" s="26"/>
      <c r="BF695" s="26"/>
      <c r="BG695" s="26"/>
      <c r="BH695" s="26"/>
      <c r="BI695" s="26"/>
      <c r="BJ695" s="26"/>
      <c r="BK695" s="26"/>
      <c r="BL695" s="26"/>
    </row>
    <row r="696" spans="1:64"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row>
    <row r="697" spans="1:64"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c r="AN697" s="26"/>
      <c r="AO697" s="26"/>
      <c r="AP697" s="26"/>
      <c r="AQ697" s="26"/>
      <c r="AR697" s="26"/>
      <c r="AS697" s="26"/>
      <c r="AT697" s="26"/>
      <c r="AU697" s="26"/>
      <c r="AV697" s="26"/>
      <c r="AW697" s="26"/>
      <c r="AX697" s="26"/>
      <c r="AY697" s="26"/>
      <c r="AZ697" s="26"/>
      <c r="BA697" s="26"/>
      <c r="BB697" s="26"/>
      <c r="BC697" s="26"/>
      <c r="BD697" s="26"/>
      <c r="BE697" s="26"/>
      <c r="BF697" s="26"/>
      <c r="BG697" s="26"/>
      <c r="BH697" s="26"/>
      <c r="BI697" s="26"/>
      <c r="BJ697" s="26"/>
      <c r="BK697" s="26"/>
      <c r="BL697" s="26"/>
    </row>
    <row r="698" spans="1:64"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row>
    <row r="699" spans="1:64"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c r="AN699" s="26"/>
      <c r="AO699" s="26"/>
      <c r="AP699" s="26"/>
      <c r="AQ699" s="26"/>
      <c r="AR699" s="26"/>
      <c r="AS699" s="26"/>
      <c r="AT699" s="26"/>
      <c r="AU699" s="26"/>
      <c r="AV699" s="26"/>
      <c r="AW699" s="26"/>
      <c r="AX699" s="26"/>
      <c r="AY699" s="26"/>
      <c r="AZ699" s="26"/>
      <c r="BA699" s="26"/>
      <c r="BB699" s="26"/>
      <c r="BC699" s="26"/>
      <c r="BD699" s="26"/>
      <c r="BE699" s="26"/>
      <c r="BF699" s="26"/>
      <c r="BG699" s="26"/>
      <c r="BH699" s="26"/>
      <c r="BI699" s="26"/>
      <c r="BJ699" s="26"/>
      <c r="BK699" s="26"/>
      <c r="BL699" s="26"/>
    </row>
    <row r="700" spans="1:64"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row>
    <row r="701" spans="1:64"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c r="AN701" s="26"/>
      <c r="AO701" s="26"/>
      <c r="AP701" s="26"/>
      <c r="AQ701" s="26"/>
      <c r="AR701" s="26"/>
      <c r="AS701" s="26"/>
      <c r="AT701" s="26"/>
      <c r="AU701" s="26"/>
      <c r="AV701" s="26"/>
      <c r="AW701" s="26"/>
      <c r="AX701" s="26"/>
      <c r="AY701" s="26"/>
      <c r="AZ701" s="26"/>
      <c r="BA701" s="26"/>
      <c r="BB701" s="26"/>
      <c r="BC701" s="26"/>
      <c r="BD701" s="26"/>
      <c r="BE701" s="26"/>
      <c r="BF701" s="26"/>
      <c r="BG701" s="26"/>
      <c r="BH701" s="26"/>
      <c r="BI701" s="26"/>
      <c r="BJ701" s="26"/>
      <c r="BK701" s="26"/>
      <c r="BL701" s="26"/>
    </row>
    <row r="702" spans="1:64"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row>
    <row r="703" spans="1:64"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c r="AN703" s="26"/>
      <c r="AO703" s="26"/>
      <c r="AP703" s="26"/>
      <c r="AQ703" s="26"/>
      <c r="AR703" s="26"/>
      <c r="AS703" s="26"/>
      <c r="AT703" s="26"/>
      <c r="AU703" s="26"/>
      <c r="AV703" s="26"/>
      <c r="AW703" s="26"/>
      <c r="AX703" s="26"/>
      <c r="AY703" s="26"/>
      <c r="AZ703" s="26"/>
      <c r="BA703" s="26"/>
      <c r="BB703" s="26"/>
      <c r="BC703" s="26"/>
      <c r="BD703" s="26"/>
      <c r="BE703" s="26"/>
      <c r="BF703" s="26"/>
      <c r="BG703" s="26"/>
      <c r="BH703" s="26"/>
      <c r="BI703" s="26"/>
      <c r="BJ703" s="26"/>
      <c r="BK703" s="26"/>
      <c r="BL703" s="26"/>
    </row>
    <row r="704" spans="1:6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row>
    <row r="705" spans="1:64"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c r="AN705" s="26"/>
      <c r="AO705" s="26"/>
      <c r="AP705" s="26"/>
      <c r="AQ705" s="26"/>
      <c r="AR705" s="26"/>
      <c r="AS705" s="26"/>
      <c r="AT705" s="26"/>
      <c r="AU705" s="26"/>
      <c r="AV705" s="26"/>
      <c r="AW705" s="26"/>
      <c r="AX705" s="26"/>
      <c r="AY705" s="26"/>
      <c r="AZ705" s="26"/>
      <c r="BA705" s="26"/>
      <c r="BB705" s="26"/>
      <c r="BC705" s="26"/>
      <c r="BD705" s="26"/>
      <c r="BE705" s="26"/>
      <c r="BF705" s="26"/>
      <c r="BG705" s="26"/>
      <c r="BH705" s="26"/>
      <c r="BI705" s="26"/>
      <c r="BJ705" s="26"/>
      <c r="BK705" s="26"/>
      <c r="BL705" s="26"/>
    </row>
    <row r="706" spans="1:64"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row>
    <row r="707" spans="1:64"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c r="AN707" s="26"/>
      <c r="AO707" s="26"/>
      <c r="AP707" s="26"/>
      <c r="AQ707" s="26"/>
      <c r="AR707" s="26"/>
      <c r="AS707" s="26"/>
      <c r="AT707" s="26"/>
      <c r="AU707" s="26"/>
      <c r="AV707" s="26"/>
      <c r="AW707" s="26"/>
      <c r="AX707" s="26"/>
      <c r="AY707" s="26"/>
      <c r="AZ707" s="26"/>
      <c r="BA707" s="26"/>
      <c r="BB707" s="26"/>
      <c r="BC707" s="26"/>
      <c r="BD707" s="26"/>
      <c r="BE707" s="26"/>
      <c r="BF707" s="26"/>
      <c r="BG707" s="26"/>
      <c r="BH707" s="26"/>
      <c r="BI707" s="26"/>
      <c r="BJ707" s="26"/>
      <c r="BK707" s="26"/>
      <c r="BL707" s="26"/>
    </row>
    <row r="708" spans="1:64"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row>
    <row r="709" spans="1:64"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c r="AN709" s="26"/>
      <c r="AO709" s="26"/>
      <c r="AP709" s="26"/>
      <c r="AQ709" s="26"/>
      <c r="AR709" s="26"/>
      <c r="AS709" s="26"/>
      <c r="AT709" s="26"/>
      <c r="AU709" s="26"/>
      <c r="AV709" s="26"/>
      <c r="AW709" s="26"/>
      <c r="AX709" s="26"/>
      <c r="AY709" s="26"/>
      <c r="AZ709" s="26"/>
      <c r="BA709" s="26"/>
      <c r="BB709" s="26"/>
      <c r="BC709" s="26"/>
      <c r="BD709" s="26"/>
      <c r="BE709" s="26"/>
      <c r="BF709" s="26"/>
      <c r="BG709" s="26"/>
      <c r="BH709" s="26"/>
      <c r="BI709" s="26"/>
      <c r="BJ709" s="26"/>
      <c r="BK709" s="26"/>
      <c r="BL709" s="26"/>
    </row>
    <row r="710" spans="1:64"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row>
    <row r="711" spans="1:64"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c r="AN711" s="26"/>
      <c r="AO711" s="26"/>
      <c r="AP711" s="26"/>
      <c r="AQ711" s="26"/>
      <c r="AR711" s="26"/>
      <c r="AS711" s="26"/>
      <c r="AT711" s="26"/>
      <c r="AU711" s="26"/>
      <c r="AV711" s="26"/>
      <c r="AW711" s="26"/>
      <c r="AX711" s="26"/>
      <c r="AY711" s="26"/>
      <c r="AZ711" s="26"/>
      <c r="BA711" s="26"/>
      <c r="BB711" s="26"/>
      <c r="BC711" s="26"/>
      <c r="BD711" s="26"/>
      <c r="BE711" s="26"/>
      <c r="BF711" s="26"/>
      <c r="BG711" s="26"/>
      <c r="BH711" s="26"/>
      <c r="BI711" s="26"/>
      <c r="BJ711" s="26"/>
      <c r="BK711" s="26"/>
      <c r="BL711" s="26"/>
    </row>
    <row r="712" spans="1:64"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row>
    <row r="713" spans="1:64"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c r="AN713" s="26"/>
      <c r="AO713" s="26"/>
      <c r="AP713" s="26"/>
      <c r="AQ713" s="26"/>
      <c r="AR713" s="26"/>
      <c r="AS713" s="26"/>
      <c r="AT713" s="26"/>
      <c r="AU713" s="26"/>
      <c r="AV713" s="26"/>
      <c r="AW713" s="26"/>
      <c r="AX713" s="26"/>
      <c r="AY713" s="26"/>
      <c r="AZ713" s="26"/>
      <c r="BA713" s="26"/>
      <c r="BB713" s="26"/>
      <c r="BC713" s="26"/>
      <c r="BD713" s="26"/>
      <c r="BE713" s="26"/>
      <c r="BF713" s="26"/>
      <c r="BG713" s="26"/>
      <c r="BH713" s="26"/>
      <c r="BI713" s="26"/>
      <c r="BJ713" s="26"/>
      <c r="BK713" s="26"/>
      <c r="BL713" s="26"/>
    </row>
    <row r="714" spans="1:6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row>
    <row r="715" spans="1:64"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c r="AN715" s="26"/>
      <c r="AO715" s="26"/>
      <c r="AP715" s="26"/>
      <c r="AQ715" s="26"/>
      <c r="AR715" s="26"/>
      <c r="AS715" s="26"/>
      <c r="AT715" s="26"/>
      <c r="AU715" s="26"/>
      <c r="AV715" s="26"/>
      <c r="AW715" s="26"/>
      <c r="AX715" s="26"/>
      <c r="AY715" s="26"/>
      <c r="AZ715" s="26"/>
      <c r="BA715" s="26"/>
      <c r="BB715" s="26"/>
      <c r="BC715" s="26"/>
      <c r="BD715" s="26"/>
      <c r="BE715" s="26"/>
      <c r="BF715" s="26"/>
      <c r="BG715" s="26"/>
      <c r="BH715" s="26"/>
      <c r="BI715" s="26"/>
      <c r="BJ715" s="26"/>
      <c r="BK715" s="26"/>
      <c r="BL715" s="26"/>
    </row>
    <row r="716" spans="1:64"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row>
    <row r="717" spans="1:64"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c r="AN717" s="26"/>
      <c r="AO717" s="26"/>
      <c r="AP717" s="26"/>
      <c r="AQ717" s="26"/>
      <c r="AR717" s="26"/>
      <c r="AS717" s="26"/>
      <c r="AT717" s="26"/>
      <c r="AU717" s="26"/>
      <c r="AV717" s="26"/>
      <c r="AW717" s="26"/>
      <c r="AX717" s="26"/>
      <c r="AY717" s="26"/>
      <c r="AZ717" s="26"/>
      <c r="BA717" s="26"/>
      <c r="BB717" s="26"/>
      <c r="BC717" s="26"/>
      <c r="BD717" s="26"/>
      <c r="BE717" s="26"/>
      <c r="BF717" s="26"/>
      <c r="BG717" s="26"/>
      <c r="BH717" s="26"/>
      <c r="BI717" s="26"/>
      <c r="BJ717" s="26"/>
      <c r="BK717" s="26"/>
      <c r="BL717" s="26"/>
    </row>
    <row r="718" spans="1:64"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row>
    <row r="719" spans="1:64"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c r="AN719" s="26"/>
      <c r="AO719" s="26"/>
      <c r="AP719" s="26"/>
      <c r="AQ719" s="26"/>
      <c r="AR719" s="26"/>
      <c r="AS719" s="26"/>
      <c r="AT719" s="26"/>
      <c r="AU719" s="26"/>
      <c r="AV719" s="26"/>
      <c r="AW719" s="26"/>
      <c r="AX719" s="26"/>
      <c r="AY719" s="26"/>
      <c r="AZ719" s="26"/>
      <c r="BA719" s="26"/>
      <c r="BB719" s="26"/>
      <c r="BC719" s="26"/>
      <c r="BD719" s="26"/>
      <c r="BE719" s="26"/>
      <c r="BF719" s="26"/>
      <c r="BG719" s="26"/>
      <c r="BH719" s="26"/>
      <c r="BI719" s="26"/>
      <c r="BJ719" s="26"/>
      <c r="BK719" s="26"/>
      <c r="BL719" s="26"/>
    </row>
    <row r="720" spans="1:64"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row>
    <row r="721" spans="1:64"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c r="AN721" s="26"/>
      <c r="AO721" s="26"/>
      <c r="AP721" s="26"/>
      <c r="AQ721" s="26"/>
      <c r="AR721" s="26"/>
      <c r="AS721" s="26"/>
      <c r="AT721" s="26"/>
      <c r="AU721" s="26"/>
      <c r="AV721" s="26"/>
      <c r="AW721" s="26"/>
      <c r="AX721" s="26"/>
      <c r="AY721" s="26"/>
      <c r="AZ721" s="26"/>
      <c r="BA721" s="26"/>
      <c r="BB721" s="26"/>
      <c r="BC721" s="26"/>
      <c r="BD721" s="26"/>
      <c r="BE721" s="26"/>
      <c r="BF721" s="26"/>
      <c r="BG721" s="26"/>
      <c r="BH721" s="26"/>
      <c r="BI721" s="26"/>
      <c r="BJ721" s="26"/>
      <c r="BK721" s="26"/>
      <c r="BL721" s="26"/>
    </row>
    <row r="722" spans="1:64"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row>
    <row r="723" spans="1:64"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c r="AN723" s="26"/>
      <c r="AO723" s="26"/>
      <c r="AP723" s="26"/>
      <c r="AQ723" s="26"/>
      <c r="AR723" s="26"/>
      <c r="AS723" s="26"/>
      <c r="AT723" s="26"/>
      <c r="AU723" s="26"/>
      <c r="AV723" s="26"/>
      <c r="AW723" s="26"/>
      <c r="AX723" s="26"/>
      <c r="AY723" s="26"/>
      <c r="AZ723" s="26"/>
      <c r="BA723" s="26"/>
      <c r="BB723" s="26"/>
      <c r="BC723" s="26"/>
      <c r="BD723" s="26"/>
      <c r="BE723" s="26"/>
      <c r="BF723" s="26"/>
      <c r="BG723" s="26"/>
      <c r="BH723" s="26"/>
      <c r="BI723" s="26"/>
      <c r="BJ723" s="26"/>
      <c r="BK723" s="26"/>
      <c r="BL723" s="26"/>
    </row>
    <row r="724" spans="1:6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row>
    <row r="725" spans="1:64"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6"/>
      <c r="BG725" s="26"/>
      <c r="BH725" s="26"/>
      <c r="BI725" s="26"/>
      <c r="BJ725" s="26"/>
      <c r="BK725" s="26"/>
      <c r="BL725" s="26"/>
    </row>
    <row r="726" spans="1:64"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row>
    <row r="727" spans="1:64"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c r="AN727" s="26"/>
      <c r="AO727" s="26"/>
      <c r="AP727" s="26"/>
      <c r="AQ727" s="26"/>
      <c r="AR727" s="26"/>
      <c r="AS727" s="26"/>
      <c r="AT727" s="26"/>
      <c r="AU727" s="26"/>
      <c r="AV727" s="26"/>
      <c r="AW727" s="26"/>
      <c r="AX727" s="26"/>
      <c r="AY727" s="26"/>
      <c r="AZ727" s="26"/>
      <c r="BA727" s="26"/>
      <c r="BB727" s="26"/>
      <c r="BC727" s="26"/>
      <c r="BD727" s="26"/>
      <c r="BE727" s="26"/>
      <c r="BF727" s="26"/>
      <c r="BG727" s="26"/>
      <c r="BH727" s="26"/>
      <c r="BI727" s="26"/>
      <c r="BJ727" s="26"/>
      <c r="BK727" s="26"/>
      <c r="BL727" s="26"/>
    </row>
    <row r="728" spans="1:64"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row>
    <row r="729" spans="1:64"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c r="AN729" s="26"/>
      <c r="AO729" s="26"/>
      <c r="AP729" s="26"/>
      <c r="AQ729" s="26"/>
      <c r="AR729" s="26"/>
      <c r="AS729" s="26"/>
      <c r="AT729" s="26"/>
      <c r="AU729" s="26"/>
      <c r="AV729" s="26"/>
      <c r="AW729" s="26"/>
      <c r="AX729" s="26"/>
      <c r="AY729" s="26"/>
      <c r="AZ729" s="26"/>
      <c r="BA729" s="26"/>
      <c r="BB729" s="26"/>
      <c r="BC729" s="26"/>
      <c r="BD729" s="26"/>
      <c r="BE729" s="26"/>
      <c r="BF729" s="26"/>
      <c r="BG729" s="26"/>
      <c r="BH729" s="26"/>
      <c r="BI729" s="26"/>
      <c r="BJ729" s="26"/>
      <c r="BK729" s="26"/>
      <c r="BL729" s="26"/>
    </row>
    <row r="730" spans="1:64"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row>
    <row r="731" spans="1:64"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6"/>
      <c r="BG731" s="26"/>
      <c r="BH731" s="26"/>
      <c r="BI731" s="26"/>
      <c r="BJ731" s="26"/>
      <c r="BK731" s="26"/>
      <c r="BL731" s="26"/>
    </row>
    <row r="732" spans="1:64"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row>
    <row r="733" spans="1:64"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c r="BF733" s="26"/>
      <c r="BG733" s="26"/>
      <c r="BH733" s="26"/>
      <c r="BI733" s="26"/>
      <c r="BJ733" s="26"/>
      <c r="BK733" s="26"/>
      <c r="BL733" s="26"/>
    </row>
    <row r="734" spans="1:6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row>
    <row r="735" spans="1:64"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c r="BF735" s="26"/>
      <c r="BG735" s="26"/>
      <c r="BH735" s="26"/>
      <c r="BI735" s="26"/>
      <c r="BJ735" s="26"/>
      <c r="BK735" s="26"/>
      <c r="BL735" s="26"/>
    </row>
    <row r="736" spans="1:64"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row>
    <row r="737" spans="1:64"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c r="BF737" s="26"/>
      <c r="BG737" s="26"/>
      <c r="BH737" s="26"/>
      <c r="BI737" s="26"/>
      <c r="BJ737" s="26"/>
      <c r="BK737" s="26"/>
      <c r="BL737" s="26"/>
    </row>
    <row r="738" spans="1:64"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row>
    <row r="739" spans="1:64"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c r="BF739" s="26"/>
      <c r="BG739" s="26"/>
      <c r="BH739" s="26"/>
      <c r="BI739" s="26"/>
      <c r="BJ739" s="26"/>
      <c r="BK739" s="26"/>
      <c r="BL739" s="26"/>
    </row>
    <row r="740" spans="1:64"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row>
    <row r="741" spans="1:64"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c r="BF741" s="26"/>
      <c r="BG741" s="26"/>
      <c r="BH741" s="26"/>
      <c r="BI741" s="26"/>
      <c r="BJ741" s="26"/>
      <c r="BK741" s="26"/>
      <c r="BL741" s="26"/>
    </row>
    <row r="742" spans="1:64"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row>
    <row r="743" spans="1:64"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c r="BF743" s="26"/>
      <c r="BG743" s="26"/>
      <c r="BH743" s="26"/>
      <c r="BI743" s="26"/>
      <c r="BJ743" s="26"/>
      <c r="BK743" s="26"/>
      <c r="BL743" s="26"/>
    </row>
    <row r="744" spans="1:6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row>
    <row r="745" spans="1:64"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c r="BF745" s="26"/>
      <c r="BG745" s="26"/>
      <c r="BH745" s="26"/>
      <c r="BI745" s="26"/>
      <c r="BJ745" s="26"/>
      <c r="BK745" s="26"/>
      <c r="BL745" s="26"/>
    </row>
    <row r="746" spans="1:64"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row>
    <row r="747" spans="1:64"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c r="BF747" s="26"/>
      <c r="BG747" s="26"/>
      <c r="BH747" s="26"/>
      <c r="BI747" s="26"/>
      <c r="BJ747" s="26"/>
      <c r="BK747" s="26"/>
      <c r="BL747" s="26"/>
    </row>
    <row r="748" spans="1:64"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row>
    <row r="749" spans="1:64"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c r="BF749" s="26"/>
      <c r="BG749" s="26"/>
      <c r="BH749" s="26"/>
      <c r="BI749" s="26"/>
      <c r="BJ749" s="26"/>
      <c r="BK749" s="26"/>
      <c r="BL749" s="26"/>
    </row>
    <row r="750" spans="1:64"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row>
    <row r="751" spans="1:64"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c r="BF751" s="26"/>
      <c r="BG751" s="26"/>
      <c r="BH751" s="26"/>
      <c r="BI751" s="26"/>
      <c r="BJ751" s="26"/>
      <c r="BK751" s="26"/>
      <c r="BL751" s="26"/>
    </row>
    <row r="752" spans="1:64"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row>
    <row r="753" spans="1:64"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c r="BF753" s="26"/>
      <c r="BG753" s="26"/>
      <c r="BH753" s="26"/>
      <c r="BI753" s="26"/>
      <c r="BJ753" s="26"/>
      <c r="BK753" s="26"/>
      <c r="BL753" s="26"/>
    </row>
    <row r="754" spans="1:6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row>
    <row r="755" spans="1:64"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c r="BF755" s="26"/>
      <c r="BG755" s="26"/>
      <c r="BH755" s="26"/>
      <c r="BI755" s="26"/>
      <c r="BJ755" s="26"/>
      <c r="BK755" s="26"/>
      <c r="BL755" s="26"/>
    </row>
    <row r="756" spans="1:64"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row>
    <row r="757" spans="1:64"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c r="BF757" s="26"/>
      <c r="BG757" s="26"/>
      <c r="BH757" s="26"/>
      <c r="BI757" s="26"/>
      <c r="BJ757" s="26"/>
      <c r="BK757" s="26"/>
      <c r="BL757" s="26"/>
    </row>
    <row r="758" spans="1:64"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row>
    <row r="759" spans="1:64"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c r="BF759" s="26"/>
      <c r="BG759" s="26"/>
      <c r="BH759" s="26"/>
      <c r="BI759" s="26"/>
      <c r="BJ759" s="26"/>
      <c r="BK759" s="26"/>
      <c r="BL759" s="26"/>
    </row>
    <row r="760" spans="1:64"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row>
    <row r="761" spans="1:64"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6"/>
      <c r="BG761" s="26"/>
      <c r="BH761" s="26"/>
      <c r="BI761" s="26"/>
      <c r="BJ761" s="26"/>
      <c r="BK761" s="26"/>
      <c r="BL761" s="26"/>
    </row>
    <row r="762" spans="1:64"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row>
    <row r="763" spans="1:64"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c r="BF763" s="26"/>
      <c r="BG763" s="26"/>
      <c r="BH763" s="26"/>
      <c r="BI763" s="26"/>
      <c r="BJ763" s="26"/>
      <c r="BK763" s="26"/>
      <c r="BL763" s="26"/>
    </row>
    <row r="764" spans="1: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row>
    <row r="765" spans="1:64"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c r="AL765" s="26"/>
      <c r="AM765" s="26"/>
      <c r="AN765" s="26"/>
      <c r="AO765" s="26"/>
      <c r="AP765" s="26"/>
      <c r="AQ765" s="26"/>
      <c r="AR765" s="26"/>
      <c r="AS765" s="26"/>
      <c r="AT765" s="26"/>
      <c r="AU765" s="26"/>
      <c r="AV765" s="26"/>
      <c r="AW765" s="26"/>
      <c r="AX765" s="26"/>
      <c r="AY765" s="26"/>
      <c r="AZ765" s="26"/>
      <c r="BA765" s="26"/>
      <c r="BB765" s="26"/>
      <c r="BC765" s="26"/>
      <c r="BD765" s="26"/>
      <c r="BE765" s="26"/>
      <c r="BF765" s="26"/>
      <c r="BG765" s="26"/>
      <c r="BH765" s="26"/>
      <c r="BI765" s="26"/>
      <c r="BJ765" s="26"/>
      <c r="BK765" s="26"/>
      <c r="BL765" s="26"/>
    </row>
    <row r="766" spans="1:64"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row>
    <row r="767" spans="1:64"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c r="AL767" s="26"/>
      <c r="AM767" s="26"/>
      <c r="AN767" s="26"/>
      <c r="AO767" s="26"/>
      <c r="AP767" s="26"/>
      <c r="AQ767" s="26"/>
      <c r="AR767" s="26"/>
      <c r="AS767" s="26"/>
      <c r="AT767" s="26"/>
      <c r="AU767" s="26"/>
      <c r="AV767" s="26"/>
      <c r="AW767" s="26"/>
      <c r="AX767" s="26"/>
      <c r="AY767" s="26"/>
      <c r="AZ767" s="26"/>
      <c r="BA767" s="26"/>
      <c r="BB767" s="26"/>
      <c r="BC767" s="26"/>
      <c r="BD767" s="26"/>
      <c r="BE767" s="26"/>
      <c r="BF767" s="26"/>
      <c r="BG767" s="26"/>
      <c r="BH767" s="26"/>
      <c r="BI767" s="26"/>
      <c r="BJ767" s="26"/>
      <c r="BK767" s="26"/>
      <c r="BL767" s="26"/>
    </row>
    <row r="768" spans="1:64"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row>
    <row r="769" spans="1:64"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c r="AK769" s="26"/>
      <c r="AL769" s="26"/>
      <c r="AM769" s="26"/>
      <c r="AN769" s="26"/>
      <c r="AO769" s="26"/>
      <c r="AP769" s="26"/>
      <c r="AQ769" s="26"/>
      <c r="AR769" s="26"/>
      <c r="AS769" s="26"/>
      <c r="AT769" s="26"/>
      <c r="AU769" s="26"/>
      <c r="AV769" s="26"/>
      <c r="AW769" s="26"/>
      <c r="AX769" s="26"/>
      <c r="AY769" s="26"/>
      <c r="AZ769" s="26"/>
      <c r="BA769" s="26"/>
      <c r="BB769" s="26"/>
      <c r="BC769" s="26"/>
      <c r="BD769" s="26"/>
      <c r="BE769" s="26"/>
      <c r="BF769" s="26"/>
      <c r="BG769" s="26"/>
      <c r="BH769" s="26"/>
      <c r="BI769" s="26"/>
      <c r="BJ769" s="26"/>
      <c r="BK769" s="26"/>
      <c r="BL769" s="26"/>
    </row>
    <row r="770" spans="1:64"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row>
    <row r="771" spans="1:64"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c r="AL771" s="26"/>
      <c r="AM771" s="26"/>
      <c r="AN771" s="26"/>
      <c r="AO771" s="26"/>
      <c r="AP771" s="26"/>
      <c r="AQ771" s="26"/>
      <c r="AR771" s="26"/>
      <c r="AS771" s="26"/>
      <c r="AT771" s="26"/>
      <c r="AU771" s="26"/>
      <c r="AV771" s="26"/>
      <c r="AW771" s="26"/>
      <c r="AX771" s="26"/>
      <c r="AY771" s="26"/>
      <c r="AZ771" s="26"/>
      <c r="BA771" s="26"/>
      <c r="BB771" s="26"/>
      <c r="BC771" s="26"/>
      <c r="BD771" s="26"/>
      <c r="BE771" s="26"/>
      <c r="BF771" s="26"/>
      <c r="BG771" s="26"/>
      <c r="BH771" s="26"/>
      <c r="BI771" s="26"/>
      <c r="BJ771" s="26"/>
      <c r="BK771" s="26"/>
      <c r="BL771" s="26"/>
    </row>
    <row r="772" spans="1:64"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row>
    <row r="773" spans="1:64"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c r="AK773" s="26"/>
      <c r="AL773" s="26"/>
      <c r="AM773" s="26"/>
      <c r="AN773" s="26"/>
      <c r="AO773" s="26"/>
      <c r="AP773" s="26"/>
      <c r="AQ773" s="26"/>
      <c r="AR773" s="26"/>
      <c r="AS773" s="26"/>
      <c r="AT773" s="26"/>
      <c r="AU773" s="26"/>
      <c r="AV773" s="26"/>
      <c r="AW773" s="26"/>
      <c r="AX773" s="26"/>
      <c r="AY773" s="26"/>
      <c r="AZ773" s="26"/>
      <c r="BA773" s="26"/>
      <c r="BB773" s="26"/>
      <c r="BC773" s="26"/>
      <c r="BD773" s="26"/>
      <c r="BE773" s="26"/>
      <c r="BF773" s="26"/>
      <c r="BG773" s="26"/>
      <c r="BH773" s="26"/>
      <c r="BI773" s="26"/>
      <c r="BJ773" s="26"/>
      <c r="BK773" s="26"/>
      <c r="BL773" s="26"/>
    </row>
    <row r="774" spans="1:6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6"/>
      <c r="BG774" s="26"/>
      <c r="BH774" s="26"/>
      <c r="BI774" s="26"/>
      <c r="BJ774" s="26"/>
      <c r="BK774" s="26"/>
      <c r="BL774" s="26"/>
    </row>
    <row r="775" spans="1:64"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c r="AK775" s="26"/>
      <c r="AL775" s="26"/>
      <c r="AM775" s="26"/>
      <c r="AN775" s="26"/>
      <c r="AO775" s="26"/>
      <c r="AP775" s="26"/>
      <c r="AQ775" s="26"/>
      <c r="AR775" s="26"/>
      <c r="AS775" s="26"/>
      <c r="AT775" s="26"/>
      <c r="AU775" s="26"/>
      <c r="AV775" s="26"/>
      <c r="AW775" s="26"/>
      <c r="AX775" s="26"/>
      <c r="AY775" s="26"/>
      <c r="AZ775" s="26"/>
      <c r="BA775" s="26"/>
      <c r="BB775" s="26"/>
      <c r="BC775" s="26"/>
      <c r="BD775" s="26"/>
      <c r="BE775" s="26"/>
      <c r="BF775" s="26"/>
      <c r="BG775" s="26"/>
      <c r="BH775" s="26"/>
      <c r="BI775" s="26"/>
      <c r="BJ775" s="26"/>
      <c r="BK775" s="26"/>
      <c r="BL775" s="26"/>
    </row>
    <row r="776" spans="1:64"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6"/>
      <c r="BG776" s="26"/>
      <c r="BH776" s="26"/>
      <c r="BI776" s="26"/>
      <c r="BJ776" s="26"/>
      <c r="BK776" s="26"/>
      <c r="BL776" s="26"/>
    </row>
    <row r="777" spans="1:64"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c r="AK777" s="26"/>
      <c r="AL777" s="26"/>
      <c r="AM777" s="26"/>
      <c r="AN777" s="26"/>
      <c r="AO777" s="26"/>
      <c r="AP777" s="26"/>
      <c r="AQ777" s="26"/>
      <c r="AR777" s="26"/>
      <c r="AS777" s="26"/>
      <c r="AT777" s="26"/>
      <c r="AU777" s="26"/>
      <c r="AV777" s="26"/>
      <c r="AW777" s="26"/>
      <c r="AX777" s="26"/>
      <c r="AY777" s="26"/>
      <c r="AZ777" s="26"/>
      <c r="BA777" s="26"/>
      <c r="BB777" s="26"/>
      <c r="BC777" s="26"/>
      <c r="BD777" s="26"/>
      <c r="BE777" s="26"/>
      <c r="BF777" s="26"/>
      <c r="BG777" s="26"/>
      <c r="BH777" s="26"/>
      <c r="BI777" s="26"/>
      <c r="BJ777" s="26"/>
      <c r="BK777" s="26"/>
      <c r="BL777" s="26"/>
    </row>
    <row r="778" spans="1:64"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row>
    <row r="779" spans="1:64"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c r="AK779" s="26"/>
      <c r="AL779" s="26"/>
      <c r="AM779" s="26"/>
      <c r="AN779" s="26"/>
      <c r="AO779" s="26"/>
      <c r="AP779" s="26"/>
      <c r="AQ779" s="26"/>
      <c r="AR779" s="26"/>
      <c r="AS779" s="26"/>
      <c r="AT779" s="26"/>
      <c r="AU779" s="26"/>
      <c r="AV779" s="26"/>
      <c r="AW779" s="26"/>
      <c r="AX779" s="26"/>
      <c r="AY779" s="26"/>
      <c r="AZ779" s="26"/>
      <c r="BA779" s="26"/>
      <c r="BB779" s="26"/>
      <c r="BC779" s="26"/>
      <c r="BD779" s="26"/>
      <c r="BE779" s="26"/>
      <c r="BF779" s="26"/>
      <c r="BG779" s="26"/>
      <c r="BH779" s="26"/>
      <c r="BI779" s="26"/>
      <c r="BJ779" s="26"/>
      <c r="BK779" s="26"/>
      <c r="BL779" s="26"/>
    </row>
    <row r="780" spans="1:64"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row>
    <row r="781" spans="1:64"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c r="AK781" s="26"/>
      <c r="AL781" s="26"/>
      <c r="AM781" s="26"/>
      <c r="AN781" s="26"/>
      <c r="AO781" s="26"/>
      <c r="AP781" s="26"/>
      <c r="AQ781" s="26"/>
      <c r="AR781" s="26"/>
      <c r="AS781" s="26"/>
      <c r="AT781" s="26"/>
      <c r="AU781" s="26"/>
      <c r="AV781" s="26"/>
      <c r="AW781" s="26"/>
      <c r="AX781" s="26"/>
      <c r="AY781" s="26"/>
      <c r="AZ781" s="26"/>
      <c r="BA781" s="26"/>
      <c r="BB781" s="26"/>
      <c r="BC781" s="26"/>
      <c r="BD781" s="26"/>
      <c r="BE781" s="26"/>
      <c r="BF781" s="26"/>
      <c r="BG781" s="26"/>
      <c r="BH781" s="26"/>
      <c r="BI781" s="26"/>
      <c r="BJ781" s="26"/>
      <c r="BK781" s="26"/>
      <c r="BL781" s="26"/>
    </row>
    <row r="782" spans="1:64"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6"/>
      <c r="BG782" s="26"/>
      <c r="BH782" s="26"/>
      <c r="BI782" s="26"/>
      <c r="BJ782" s="26"/>
      <c r="BK782" s="26"/>
      <c r="BL782" s="26"/>
    </row>
    <row r="783" spans="1:64"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c r="AK783" s="26"/>
      <c r="AL783" s="26"/>
      <c r="AM783" s="26"/>
      <c r="AN783" s="26"/>
      <c r="AO783" s="26"/>
      <c r="AP783" s="26"/>
      <c r="AQ783" s="26"/>
      <c r="AR783" s="26"/>
      <c r="AS783" s="26"/>
      <c r="AT783" s="26"/>
      <c r="AU783" s="26"/>
      <c r="AV783" s="26"/>
      <c r="AW783" s="26"/>
      <c r="AX783" s="26"/>
      <c r="AY783" s="26"/>
      <c r="AZ783" s="26"/>
      <c r="BA783" s="26"/>
      <c r="BB783" s="26"/>
      <c r="BC783" s="26"/>
      <c r="BD783" s="26"/>
      <c r="BE783" s="26"/>
      <c r="BF783" s="26"/>
      <c r="BG783" s="26"/>
      <c r="BH783" s="26"/>
      <c r="BI783" s="26"/>
      <c r="BJ783" s="26"/>
      <c r="BK783" s="26"/>
      <c r="BL783" s="26"/>
    </row>
    <row r="784" spans="1:6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row>
    <row r="785" spans="1:64"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c r="AK785" s="26"/>
      <c r="AL785" s="26"/>
      <c r="AM785" s="26"/>
      <c r="AN785" s="26"/>
      <c r="AO785" s="26"/>
      <c r="AP785" s="26"/>
      <c r="AQ785" s="26"/>
      <c r="AR785" s="26"/>
      <c r="AS785" s="26"/>
      <c r="AT785" s="26"/>
      <c r="AU785" s="26"/>
      <c r="AV785" s="26"/>
      <c r="AW785" s="26"/>
      <c r="AX785" s="26"/>
      <c r="AY785" s="26"/>
      <c r="AZ785" s="26"/>
      <c r="BA785" s="26"/>
      <c r="BB785" s="26"/>
      <c r="BC785" s="26"/>
      <c r="BD785" s="26"/>
      <c r="BE785" s="26"/>
      <c r="BF785" s="26"/>
      <c r="BG785" s="26"/>
      <c r="BH785" s="26"/>
      <c r="BI785" s="26"/>
      <c r="BJ785" s="26"/>
      <c r="BK785" s="26"/>
      <c r="BL785" s="26"/>
    </row>
    <row r="786" spans="1:64"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6"/>
      <c r="BG786" s="26"/>
      <c r="BH786" s="26"/>
      <c r="BI786" s="26"/>
      <c r="BJ786" s="26"/>
      <c r="BK786" s="26"/>
      <c r="BL786" s="26"/>
    </row>
    <row r="787" spans="1:64"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c r="AK787" s="26"/>
      <c r="AL787" s="26"/>
      <c r="AM787" s="26"/>
      <c r="AN787" s="26"/>
      <c r="AO787" s="26"/>
      <c r="AP787" s="26"/>
      <c r="AQ787" s="26"/>
      <c r="AR787" s="26"/>
      <c r="AS787" s="26"/>
      <c r="AT787" s="26"/>
      <c r="AU787" s="26"/>
      <c r="AV787" s="26"/>
      <c r="AW787" s="26"/>
      <c r="AX787" s="26"/>
      <c r="AY787" s="26"/>
      <c r="AZ787" s="26"/>
      <c r="BA787" s="26"/>
      <c r="BB787" s="26"/>
      <c r="BC787" s="26"/>
      <c r="BD787" s="26"/>
      <c r="BE787" s="26"/>
      <c r="BF787" s="26"/>
      <c r="BG787" s="26"/>
      <c r="BH787" s="26"/>
      <c r="BI787" s="26"/>
      <c r="BJ787" s="26"/>
      <c r="BK787" s="26"/>
      <c r="BL787" s="26"/>
    </row>
    <row r="788" spans="1:64"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6"/>
      <c r="BG788" s="26"/>
      <c r="BH788" s="26"/>
      <c r="BI788" s="26"/>
      <c r="BJ788" s="26"/>
      <c r="BK788" s="26"/>
      <c r="BL788" s="26"/>
    </row>
    <row r="789" spans="1:64"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c r="AK789" s="26"/>
      <c r="AL789" s="26"/>
      <c r="AM789" s="26"/>
      <c r="AN789" s="26"/>
      <c r="AO789" s="26"/>
      <c r="AP789" s="26"/>
      <c r="AQ789" s="26"/>
      <c r="AR789" s="26"/>
      <c r="AS789" s="26"/>
      <c r="AT789" s="26"/>
      <c r="AU789" s="26"/>
      <c r="AV789" s="26"/>
      <c r="AW789" s="26"/>
      <c r="AX789" s="26"/>
      <c r="AY789" s="26"/>
      <c r="AZ789" s="26"/>
      <c r="BA789" s="26"/>
      <c r="BB789" s="26"/>
      <c r="BC789" s="26"/>
      <c r="BD789" s="26"/>
      <c r="BE789" s="26"/>
      <c r="BF789" s="26"/>
      <c r="BG789" s="26"/>
      <c r="BH789" s="26"/>
      <c r="BI789" s="26"/>
      <c r="BJ789" s="26"/>
      <c r="BK789" s="26"/>
      <c r="BL789" s="26"/>
    </row>
    <row r="790" spans="1:64"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row>
    <row r="791" spans="1:64"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c r="AK791" s="26"/>
      <c r="AL791" s="26"/>
      <c r="AM791" s="26"/>
      <c r="AN791" s="26"/>
      <c r="AO791" s="26"/>
      <c r="AP791" s="26"/>
      <c r="AQ791" s="26"/>
      <c r="AR791" s="26"/>
      <c r="AS791" s="26"/>
      <c r="AT791" s="26"/>
      <c r="AU791" s="26"/>
      <c r="AV791" s="26"/>
      <c r="AW791" s="26"/>
      <c r="AX791" s="26"/>
      <c r="AY791" s="26"/>
      <c r="AZ791" s="26"/>
      <c r="BA791" s="26"/>
      <c r="BB791" s="26"/>
      <c r="BC791" s="26"/>
      <c r="BD791" s="26"/>
      <c r="BE791" s="26"/>
      <c r="BF791" s="26"/>
      <c r="BG791" s="26"/>
      <c r="BH791" s="26"/>
      <c r="BI791" s="26"/>
      <c r="BJ791" s="26"/>
      <c r="BK791" s="26"/>
      <c r="BL791" s="26"/>
    </row>
    <row r="792" spans="1:64"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6"/>
      <c r="BG792" s="26"/>
      <c r="BH792" s="26"/>
      <c r="BI792" s="26"/>
      <c r="BJ792" s="26"/>
      <c r="BK792" s="26"/>
      <c r="BL792" s="26"/>
    </row>
    <row r="793" spans="1:64"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c r="AK793" s="26"/>
      <c r="AL793" s="26"/>
      <c r="AM793" s="26"/>
      <c r="AN793" s="26"/>
      <c r="AO793" s="26"/>
      <c r="AP793" s="26"/>
      <c r="AQ793" s="26"/>
      <c r="AR793" s="26"/>
      <c r="AS793" s="26"/>
      <c r="AT793" s="26"/>
      <c r="AU793" s="26"/>
      <c r="AV793" s="26"/>
      <c r="AW793" s="26"/>
      <c r="AX793" s="26"/>
      <c r="AY793" s="26"/>
      <c r="AZ793" s="26"/>
      <c r="BA793" s="26"/>
      <c r="BB793" s="26"/>
      <c r="BC793" s="26"/>
      <c r="BD793" s="26"/>
      <c r="BE793" s="26"/>
      <c r="BF793" s="26"/>
      <c r="BG793" s="26"/>
      <c r="BH793" s="26"/>
      <c r="BI793" s="26"/>
      <c r="BJ793" s="26"/>
      <c r="BK793" s="26"/>
      <c r="BL793" s="26"/>
    </row>
    <row r="794" spans="1:6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row>
    <row r="795" spans="1:64"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c r="AK795" s="26"/>
      <c r="AL795" s="26"/>
      <c r="AM795" s="26"/>
      <c r="AN795" s="26"/>
      <c r="AO795" s="26"/>
      <c r="AP795" s="26"/>
      <c r="AQ795" s="26"/>
      <c r="AR795" s="26"/>
      <c r="AS795" s="26"/>
      <c r="AT795" s="26"/>
      <c r="AU795" s="26"/>
      <c r="AV795" s="26"/>
      <c r="AW795" s="26"/>
      <c r="AX795" s="26"/>
      <c r="AY795" s="26"/>
      <c r="AZ795" s="26"/>
      <c r="BA795" s="26"/>
      <c r="BB795" s="26"/>
      <c r="BC795" s="26"/>
      <c r="BD795" s="26"/>
      <c r="BE795" s="26"/>
      <c r="BF795" s="26"/>
      <c r="BG795" s="26"/>
      <c r="BH795" s="26"/>
      <c r="BI795" s="26"/>
      <c r="BJ795" s="26"/>
      <c r="BK795" s="26"/>
      <c r="BL795" s="26"/>
    </row>
    <row r="796" spans="1:64"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6"/>
      <c r="BG796" s="26"/>
      <c r="BH796" s="26"/>
      <c r="BI796" s="26"/>
      <c r="BJ796" s="26"/>
      <c r="BK796" s="26"/>
      <c r="BL796" s="26"/>
    </row>
    <row r="797" spans="1:64"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c r="AK797" s="26"/>
      <c r="AL797" s="26"/>
      <c r="AM797" s="26"/>
      <c r="AN797" s="26"/>
      <c r="AO797" s="26"/>
      <c r="AP797" s="26"/>
      <c r="AQ797" s="26"/>
      <c r="AR797" s="26"/>
      <c r="AS797" s="26"/>
      <c r="AT797" s="26"/>
      <c r="AU797" s="26"/>
      <c r="AV797" s="26"/>
      <c r="AW797" s="26"/>
      <c r="AX797" s="26"/>
      <c r="AY797" s="26"/>
      <c r="AZ797" s="26"/>
      <c r="BA797" s="26"/>
      <c r="BB797" s="26"/>
      <c r="BC797" s="26"/>
      <c r="BD797" s="26"/>
      <c r="BE797" s="26"/>
      <c r="BF797" s="26"/>
      <c r="BG797" s="26"/>
      <c r="BH797" s="26"/>
      <c r="BI797" s="26"/>
      <c r="BJ797" s="26"/>
      <c r="BK797" s="26"/>
      <c r="BL797" s="26"/>
    </row>
    <row r="798" spans="1:64"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6"/>
      <c r="BG798" s="26"/>
      <c r="BH798" s="26"/>
      <c r="BI798" s="26"/>
      <c r="BJ798" s="26"/>
      <c r="BK798" s="26"/>
      <c r="BL798" s="26"/>
    </row>
    <row r="799" spans="1:64"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c r="AK799" s="26"/>
      <c r="AL799" s="26"/>
      <c r="AM799" s="26"/>
      <c r="AN799" s="26"/>
      <c r="AO799" s="26"/>
      <c r="AP799" s="26"/>
      <c r="AQ799" s="26"/>
      <c r="AR799" s="26"/>
      <c r="AS799" s="26"/>
      <c r="AT799" s="26"/>
      <c r="AU799" s="26"/>
      <c r="AV799" s="26"/>
      <c r="AW799" s="26"/>
      <c r="AX799" s="26"/>
      <c r="AY799" s="26"/>
      <c r="AZ799" s="26"/>
      <c r="BA799" s="26"/>
      <c r="BB799" s="26"/>
      <c r="BC799" s="26"/>
      <c r="BD799" s="26"/>
      <c r="BE799" s="26"/>
      <c r="BF799" s="26"/>
      <c r="BG799" s="26"/>
      <c r="BH799" s="26"/>
      <c r="BI799" s="26"/>
      <c r="BJ799" s="26"/>
      <c r="BK799" s="26"/>
      <c r="BL799" s="26"/>
    </row>
    <row r="800" spans="1:64"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6"/>
      <c r="BG800" s="26"/>
      <c r="BH800" s="26"/>
      <c r="BI800" s="26"/>
      <c r="BJ800" s="26"/>
      <c r="BK800" s="26"/>
      <c r="BL800" s="26"/>
    </row>
    <row r="801" spans="1:64"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c r="AK801" s="26"/>
      <c r="AL801" s="26"/>
      <c r="AM801" s="26"/>
      <c r="AN801" s="26"/>
      <c r="AO801" s="26"/>
      <c r="AP801" s="26"/>
      <c r="AQ801" s="26"/>
      <c r="AR801" s="26"/>
      <c r="AS801" s="26"/>
      <c r="AT801" s="26"/>
      <c r="AU801" s="26"/>
      <c r="AV801" s="26"/>
      <c r="AW801" s="26"/>
      <c r="AX801" s="26"/>
      <c r="AY801" s="26"/>
      <c r="AZ801" s="26"/>
      <c r="BA801" s="26"/>
      <c r="BB801" s="26"/>
      <c r="BC801" s="26"/>
      <c r="BD801" s="26"/>
      <c r="BE801" s="26"/>
      <c r="BF801" s="26"/>
      <c r="BG801" s="26"/>
      <c r="BH801" s="26"/>
      <c r="BI801" s="26"/>
      <c r="BJ801" s="26"/>
      <c r="BK801" s="26"/>
      <c r="BL801" s="26"/>
    </row>
    <row r="802" spans="1:64"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6"/>
      <c r="BG802" s="26"/>
      <c r="BH802" s="26"/>
      <c r="BI802" s="26"/>
      <c r="BJ802" s="26"/>
      <c r="BK802" s="26"/>
      <c r="BL802" s="26"/>
    </row>
    <row r="803" spans="1:64"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c r="AK803" s="26"/>
      <c r="AL803" s="26"/>
      <c r="AM803" s="26"/>
      <c r="AN803" s="26"/>
      <c r="AO803" s="26"/>
      <c r="AP803" s="26"/>
      <c r="AQ803" s="26"/>
      <c r="AR803" s="26"/>
      <c r="AS803" s="26"/>
      <c r="AT803" s="26"/>
      <c r="AU803" s="26"/>
      <c r="AV803" s="26"/>
      <c r="AW803" s="26"/>
      <c r="AX803" s="26"/>
      <c r="AY803" s="26"/>
      <c r="AZ803" s="26"/>
      <c r="BA803" s="26"/>
      <c r="BB803" s="26"/>
      <c r="BC803" s="26"/>
      <c r="BD803" s="26"/>
      <c r="BE803" s="26"/>
      <c r="BF803" s="26"/>
      <c r="BG803" s="26"/>
      <c r="BH803" s="26"/>
      <c r="BI803" s="26"/>
      <c r="BJ803" s="26"/>
      <c r="BK803" s="26"/>
      <c r="BL803" s="26"/>
    </row>
    <row r="804" spans="1:6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6"/>
      <c r="BG804" s="26"/>
      <c r="BH804" s="26"/>
      <c r="BI804" s="26"/>
      <c r="BJ804" s="26"/>
      <c r="BK804" s="26"/>
      <c r="BL804" s="26"/>
    </row>
    <row r="805" spans="1:64"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c r="AK805" s="26"/>
      <c r="AL805" s="26"/>
      <c r="AM805" s="26"/>
      <c r="AN805" s="26"/>
      <c r="AO805" s="26"/>
      <c r="AP805" s="26"/>
      <c r="AQ805" s="26"/>
      <c r="AR805" s="26"/>
      <c r="AS805" s="26"/>
      <c r="AT805" s="26"/>
      <c r="AU805" s="26"/>
      <c r="AV805" s="26"/>
      <c r="AW805" s="26"/>
      <c r="AX805" s="26"/>
      <c r="AY805" s="26"/>
      <c r="AZ805" s="26"/>
      <c r="BA805" s="26"/>
      <c r="BB805" s="26"/>
      <c r="BC805" s="26"/>
      <c r="BD805" s="26"/>
      <c r="BE805" s="26"/>
      <c r="BF805" s="26"/>
      <c r="BG805" s="26"/>
      <c r="BH805" s="26"/>
      <c r="BI805" s="26"/>
      <c r="BJ805" s="26"/>
      <c r="BK805" s="26"/>
      <c r="BL805" s="26"/>
    </row>
    <row r="806" spans="1:64"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row>
    <row r="807" spans="1:64"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c r="AK807" s="26"/>
      <c r="AL807" s="26"/>
      <c r="AM807" s="26"/>
      <c r="AN807" s="26"/>
      <c r="AO807" s="26"/>
      <c r="AP807" s="26"/>
      <c r="AQ807" s="26"/>
      <c r="AR807" s="26"/>
      <c r="AS807" s="26"/>
      <c r="AT807" s="26"/>
      <c r="AU807" s="26"/>
      <c r="AV807" s="26"/>
      <c r="AW807" s="26"/>
      <c r="AX807" s="26"/>
      <c r="AY807" s="26"/>
      <c r="AZ807" s="26"/>
      <c r="BA807" s="26"/>
      <c r="BB807" s="26"/>
      <c r="BC807" s="26"/>
      <c r="BD807" s="26"/>
      <c r="BE807" s="26"/>
      <c r="BF807" s="26"/>
      <c r="BG807" s="26"/>
      <c r="BH807" s="26"/>
      <c r="BI807" s="26"/>
      <c r="BJ807" s="26"/>
      <c r="BK807" s="26"/>
      <c r="BL807" s="26"/>
    </row>
    <row r="808" spans="1:64"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6"/>
      <c r="BG808" s="26"/>
      <c r="BH808" s="26"/>
      <c r="BI808" s="26"/>
      <c r="BJ808" s="26"/>
      <c r="BK808" s="26"/>
      <c r="BL808" s="26"/>
    </row>
    <row r="809" spans="1:64"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c r="AK809" s="26"/>
      <c r="AL809" s="26"/>
      <c r="AM809" s="26"/>
      <c r="AN809" s="26"/>
      <c r="AO809" s="26"/>
      <c r="AP809" s="26"/>
      <c r="AQ809" s="26"/>
      <c r="AR809" s="26"/>
      <c r="AS809" s="26"/>
      <c r="AT809" s="26"/>
      <c r="AU809" s="26"/>
      <c r="AV809" s="26"/>
      <c r="AW809" s="26"/>
      <c r="AX809" s="26"/>
      <c r="AY809" s="26"/>
      <c r="AZ809" s="26"/>
      <c r="BA809" s="26"/>
      <c r="BB809" s="26"/>
      <c r="BC809" s="26"/>
      <c r="BD809" s="26"/>
      <c r="BE809" s="26"/>
      <c r="BF809" s="26"/>
      <c r="BG809" s="26"/>
      <c r="BH809" s="26"/>
      <c r="BI809" s="26"/>
      <c r="BJ809" s="26"/>
      <c r="BK809" s="26"/>
      <c r="BL809" s="26"/>
    </row>
    <row r="810" spans="1:64"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6"/>
    </row>
    <row r="811" spans="1:64"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c r="AK811" s="26"/>
      <c r="AL811" s="26"/>
      <c r="AM811" s="26"/>
      <c r="AN811" s="26"/>
      <c r="AO811" s="26"/>
      <c r="AP811" s="26"/>
      <c r="AQ811" s="26"/>
      <c r="AR811" s="26"/>
      <c r="AS811" s="26"/>
      <c r="AT811" s="26"/>
      <c r="AU811" s="26"/>
      <c r="AV811" s="26"/>
      <c r="AW811" s="26"/>
      <c r="AX811" s="26"/>
      <c r="AY811" s="26"/>
      <c r="AZ811" s="26"/>
      <c r="BA811" s="26"/>
      <c r="BB811" s="26"/>
      <c r="BC811" s="26"/>
      <c r="BD811" s="26"/>
      <c r="BE811" s="26"/>
      <c r="BF811" s="26"/>
      <c r="BG811" s="26"/>
      <c r="BH811" s="26"/>
      <c r="BI811" s="26"/>
      <c r="BJ811" s="26"/>
      <c r="BK811" s="26"/>
      <c r="BL811" s="26"/>
    </row>
    <row r="812" spans="1:64"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6"/>
      <c r="BG812" s="26"/>
      <c r="BH812" s="26"/>
      <c r="BI812" s="26"/>
      <c r="BJ812" s="26"/>
      <c r="BK812" s="26"/>
      <c r="BL812" s="26"/>
    </row>
    <row r="813" spans="1:64"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c r="AK813" s="26"/>
      <c r="AL813" s="26"/>
      <c r="AM813" s="26"/>
      <c r="AN813" s="26"/>
      <c r="AO813" s="26"/>
      <c r="AP813" s="26"/>
      <c r="AQ813" s="26"/>
      <c r="AR813" s="26"/>
      <c r="AS813" s="26"/>
      <c r="AT813" s="26"/>
      <c r="AU813" s="26"/>
      <c r="AV813" s="26"/>
      <c r="AW813" s="26"/>
      <c r="AX813" s="26"/>
      <c r="AY813" s="26"/>
      <c r="AZ813" s="26"/>
      <c r="BA813" s="26"/>
      <c r="BB813" s="26"/>
      <c r="BC813" s="26"/>
      <c r="BD813" s="26"/>
      <c r="BE813" s="26"/>
      <c r="BF813" s="26"/>
      <c r="BG813" s="26"/>
      <c r="BH813" s="26"/>
      <c r="BI813" s="26"/>
      <c r="BJ813" s="26"/>
      <c r="BK813" s="26"/>
      <c r="BL813" s="26"/>
    </row>
    <row r="814" spans="1:6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row>
    <row r="815" spans="1:64"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c r="AL815" s="26"/>
      <c r="AM815" s="26"/>
      <c r="AN815" s="26"/>
      <c r="AO815" s="26"/>
      <c r="AP815" s="26"/>
      <c r="AQ815" s="26"/>
      <c r="AR815" s="26"/>
      <c r="AS815" s="26"/>
      <c r="AT815" s="26"/>
      <c r="AU815" s="26"/>
      <c r="AV815" s="26"/>
      <c r="AW815" s="26"/>
      <c r="AX815" s="26"/>
      <c r="AY815" s="26"/>
      <c r="AZ815" s="26"/>
      <c r="BA815" s="26"/>
      <c r="BB815" s="26"/>
      <c r="BC815" s="26"/>
      <c r="BD815" s="26"/>
      <c r="BE815" s="26"/>
      <c r="BF815" s="26"/>
      <c r="BG815" s="26"/>
      <c r="BH815" s="26"/>
      <c r="BI815" s="26"/>
      <c r="BJ815" s="26"/>
      <c r="BK815" s="26"/>
      <c r="BL815" s="26"/>
    </row>
    <row r="816" spans="1:64"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row>
    <row r="817" spans="1:64"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c r="AL817" s="26"/>
      <c r="AM817" s="26"/>
      <c r="AN817" s="26"/>
      <c r="AO817" s="26"/>
      <c r="AP817" s="26"/>
      <c r="AQ817" s="26"/>
      <c r="AR817" s="26"/>
      <c r="AS817" s="26"/>
      <c r="AT817" s="26"/>
      <c r="AU817" s="26"/>
      <c r="AV817" s="26"/>
      <c r="AW817" s="26"/>
      <c r="AX817" s="26"/>
      <c r="AY817" s="26"/>
      <c r="AZ817" s="26"/>
      <c r="BA817" s="26"/>
      <c r="BB817" s="26"/>
      <c r="BC817" s="26"/>
      <c r="BD817" s="26"/>
      <c r="BE817" s="26"/>
      <c r="BF817" s="26"/>
      <c r="BG817" s="26"/>
      <c r="BH817" s="26"/>
      <c r="BI817" s="26"/>
      <c r="BJ817" s="26"/>
      <c r="BK817" s="26"/>
      <c r="BL817" s="26"/>
    </row>
    <row r="818" spans="1:64"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row>
    <row r="819" spans="1:64"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c r="AK819" s="26"/>
      <c r="AL819" s="26"/>
      <c r="AM819" s="26"/>
      <c r="AN819" s="26"/>
      <c r="AO819" s="26"/>
      <c r="AP819" s="26"/>
      <c r="AQ819" s="26"/>
      <c r="AR819" s="26"/>
      <c r="AS819" s="26"/>
      <c r="AT819" s="26"/>
      <c r="AU819" s="26"/>
      <c r="AV819" s="26"/>
      <c r="AW819" s="26"/>
      <c r="AX819" s="26"/>
      <c r="AY819" s="26"/>
      <c r="AZ819" s="26"/>
      <c r="BA819" s="26"/>
      <c r="BB819" s="26"/>
      <c r="BC819" s="26"/>
      <c r="BD819" s="26"/>
      <c r="BE819" s="26"/>
      <c r="BF819" s="26"/>
      <c r="BG819" s="26"/>
      <c r="BH819" s="26"/>
      <c r="BI819" s="26"/>
      <c r="BJ819" s="26"/>
      <c r="BK819" s="26"/>
      <c r="BL819" s="26"/>
    </row>
    <row r="820" spans="1:64"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row>
    <row r="821" spans="1:64"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c r="AK821" s="26"/>
      <c r="AL821" s="26"/>
      <c r="AM821" s="26"/>
      <c r="AN821" s="26"/>
      <c r="AO821" s="26"/>
      <c r="AP821" s="26"/>
      <c r="AQ821" s="26"/>
      <c r="AR821" s="26"/>
      <c r="AS821" s="26"/>
      <c r="AT821" s="26"/>
      <c r="AU821" s="26"/>
      <c r="AV821" s="26"/>
      <c r="AW821" s="26"/>
      <c r="AX821" s="26"/>
      <c r="AY821" s="26"/>
      <c r="AZ821" s="26"/>
      <c r="BA821" s="26"/>
      <c r="BB821" s="26"/>
      <c r="BC821" s="26"/>
      <c r="BD821" s="26"/>
      <c r="BE821" s="26"/>
      <c r="BF821" s="26"/>
      <c r="BG821" s="26"/>
      <c r="BH821" s="26"/>
      <c r="BI821" s="26"/>
      <c r="BJ821" s="26"/>
      <c r="BK821" s="26"/>
      <c r="BL821" s="26"/>
    </row>
    <row r="822" spans="1:64"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c r="BL822" s="26"/>
    </row>
    <row r="823" spans="1:64"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c r="AK823" s="26"/>
      <c r="AL823" s="26"/>
      <c r="AM823" s="26"/>
      <c r="AN823" s="26"/>
      <c r="AO823" s="26"/>
      <c r="AP823" s="26"/>
      <c r="AQ823" s="26"/>
      <c r="AR823" s="26"/>
      <c r="AS823" s="26"/>
      <c r="AT823" s="26"/>
      <c r="AU823" s="26"/>
      <c r="AV823" s="26"/>
      <c r="AW823" s="26"/>
      <c r="AX823" s="26"/>
      <c r="AY823" s="26"/>
      <c r="AZ823" s="26"/>
      <c r="BA823" s="26"/>
      <c r="BB823" s="26"/>
      <c r="BC823" s="26"/>
      <c r="BD823" s="26"/>
      <c r="BE823" s="26"/>
      <c r="BF823" s="26"/>
      <c r="BG823" s="26"/>
      <c r="BH823" s="26"/>
      <c r="BI823" s="26"/>
      <c r="BJ823" s="26"/>
      <c r="BK823" s="26"/>
      <c r="BL823" s="26"/>
    </row>
    <row r="824" spans="1:6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c r="BL824" s="26"/>
    </row>
    <row r="825" spans="1:64"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c r="AK825" s="26"/>
      <c r="AL825" s="26"/>
      <c r="AM825" s="26"/>
      <c r="AN825" s="26"/>
      <c r="AO825" s="26"/>
      <c r="AP825" s="26"/>
      <c r="AQ825" s="26"/>
      <c r="AR825" s="26"/>
      <c r="AS825" s="26"/>
      <c r="AT825" s="26"/>
      <c r="AU825" s="26"/>
      <c r="AV825" s="26"/>
      <c r="AW825" s="26"/>
      <c r="AX825" s="26"/>
      <c r="AY825" s="26"/>
      <c r="AZ825" s="26"/>
      <c r="BA825" s="26"/>
      <c r="BB825" s="26"/>
      <c r="BC825" s="26"/>
      <c r="BD825" s="26"/>
      <c r="BE825" s="26"/>
      <c r="BF825" s="26"/>
      <c r="BG825" s="26"/>
      <c r="BH825" s="26"/>
      <c r="BI825" s="26"/>
      <c r="BJ825" s="26"/>
      <c r="BK825" s="26"/>
      <c r="BL825" s="26"/>
    </row>
    <row r="826" spans="1:64"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c r="BL826" s="26"/>
    </row>
    <row r="827" spans="1:64"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c r="AK827" s="26"/>
      <c r="AL827" s="26"/>
      <c r="AM827" s="26"/>
      <c r="AN827" s="26"/>
      <c r="AO827" s="26"/>
      <c r="AP827" s="26"/>
      <c r="AQ827" s="26"/>
      <c r="AR827" s="26"/>
      <c r="AS827" s="26"/>
      <c r="AT827" s="26"/>
      <c r="AU827" s="26"/>
      <c r="AV827" s="26"/>
      <c r="AW827" s="26"/>
      <c r="AX827" s="26"/>
      <c r="AY827" s="26"/>
      <c r="AZ827" s="26"/>
      <c r="BA827" s="26"/>
      <c r="BB827" s="26"/>
      <c r="BC827" s="26"/>
      <c r="BD827" s="26"/>
      <c r="BE827" s="26"/>
      <c r="BF827" s="26"/>
      <c r="BG827" s="26"/>
      <c r="BH827" s="26"/>
      <c r="BI827" s="26"/>
      <c r="BJ827" s="26"/>
      <c r="BK827" s="26"/>
      <c r="BL827" s="26"/>
    </row>
    <row r="828" spans="1:64"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c r="BL828" s="26"/>
    </row>
    <row r="829" spans="1:64"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c r="AK829" s="26"/>
      <c r="AL829" s="26"/>
      <c r="AM829" s="26"/>
      <c r="AN829" s="26"/>
      <c r="AO829" s="26"/>
      <c r="AP829" s="26"/>
      <c r="AQ829" s="26"/>
      <c r="AR829" s="26"/>
      <c r="AS829" s="26"/>
      <c r="AT829" s="26"/>
      <c r="AU829" s="26"/>
      <c r="AV829" s="26"/>
      <c r="AW829" s="26"/>
      <c r="AX829" s="26"/>
      <c r="AY829" s="26"/>
      <c r="AZ829" s="26"/>
      <c r="BA829" s="26"/>
      <c r="BB829" s="26"/>
      <c r="BC829" s="26"/>
      <c r="BD829" s="26"/>
      <c r="BE829" s="26"/>
      <c r="BF829" s="26"/>
      <c r="BG829" s="26"/>
      <c r="BH829" s="26"/>
      <c r="BI829" s="26"/>
      <c r="BJ829" s="26"/>
      <c r="BK829" s="26"/>
      <c r="BL829" s="26"/>
    </row>
    <row r="830" spans="1:64"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c r="BL830" s="26"/>
    </row>
    <row r="831" spans="1:64"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c r="AK831" s="26"/>
      <c r="AL831" s="26"/>
      <c r="AM831" s="26"/>
      <c r="AN831" s="26"/>
      <c r="AO831" s="26"/>
      <c r="AP831" s="26"/>
      <c r="AQ831" s="26"/>
      <c r="AR831" s="26"/>
      <c r="AS831" s="26"/>
      <c r="AT831" s="26"/>
      <c r="AU831" s="26"/>
      <c r="AV831" s="26"/>
      <c r="AW831" s="26"/>
      <c r="AX831" s="26"/>
      <c r="AY831" s="26"/>
      <c r="AZ831" s="26"/>
      <c r="BA831" s="26"/>
      <c r="BB831" s="26"/>
      <c r="BC831" s="26"/>
      <c r="BD831" s="26"/>
      <c r="BE831" s="26"/>
      <c r="BF831" s="26"/>
      <c r="BG831" s="26"/>
      <c r="BH831" s="26"/>
      <c r="BI831" s="26"/>
      <c r="BJ831" s="26"/>
      <c r="BK831" s="26"/>
      <c r="BL831" s="26"/>
    </row>
    <row r="832" spans="1:64"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c r="BL832" s="26"/>
    </row>
    <row r="833" spans="1:64"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c r="AK833" s="26"/>
      <c r="AL833" s="26"/>
      <c r="AM833" s="26"/>
      <c r="AN833" s="26"/>
      <c r="AO833" s="26"/>
      <c r="AP833" s="26"/>
      <c r="AQ833" s="26"/>
      <c r="AR833" s="26"/>
      <c r="AS833" s="26"/>
      <c r="AT833" s="26"/>
      <c r="AU833" s="26"/>
      <c r="AV833" s="26"/>
      <c r="AW833" s="26"/>
      <c r="AX833" s="26"/>
      <c r="AY833" s="26"/>
      <c r="AZ833" s="26"/>
      <c r="BA833" s="26"/>
      <c r="BB833" s="26"/>
      <c r="BC833" s="26"/>
      <c r="BD833" s="26"/>
      <c r="BE833" s="26"/>
      <c r="BF833" s="26"/>
      <c r="BG833" s="26"/>
      <c r="BH833" s="26"/>
      <c r="BI833" s="26"/>
      <c r="BJ833" s="26"/>
      <c r="BK833" s="26"/>
      <c r="BL833" s="26"/>
    </row>
    <row r="834" spans="1:6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row>
    <row r="835" spans="1:64"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c r="AK835" s="26"/>
      <c r="AL835" s="26"/>
      <c r="AM835" s="26"/>
      <c r="AN835" s="26"/>
      <c r="AO835" s="26"/>
      <c r="AP835" s="26"/>
      <c r="AQ835" s="26"/>
      <c r="AR835" s="26"/>
      <c r="AS835" s="26"/>
      <c r="AT835" s="26"/>
      <c r="AU835" s="26"/>
      <c r="AV835" s="26"/>
      <c r="AW835" s="26"/>
      <c r="AX835" s="26"/>
      <c r="AY835" s="26"/>
      <c r="AZ835" s="26"/>
      <c r="BA835" s="26"/>
      <c r="BB835" s="26"/>
      <c r="BC835" s="26"/>
      <c r="BD835" s="26"/>
      <c r="BE835" s="26"/>
      <c r="BF835" s="26"/>
      <c r="BG835" s="26"/>
      <c r="BH835" s="26"/>
      <c r="BI835" s="26"/>
      <c r="BJ835" s="26"/>
      <c r="BK835" s="26"/>
      <c r="BL835" s="26"/>
    </row>
    <row r="836" spans="1:64"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c r="BL836" s="26"/>
    </row>
    <row r="837" spans="1:64"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c r="AK837" s="26"/>
      <c r="AL837" s="26"/>
      <c r="AM837" s="26"/>
      <c r="AN837" s="26"/>
      <c r="AO837" s="26"/>
      <c r="AP837" s="26"/>
      <c r="AQ837" s="26"/>
      <c r="AR837" s="26"/>
      <c r="AS837" s="26"/>
      <c r="AT837" s="26"/>
      <c r="AU837" s="26"/>
      <c r="AV837" s="26"/>
      <c r="AW837" s="26"/>
      <c r="AX837" s="26"/>
      <c r="AY837" s="26"/>
      <c r="AZ837" s="26"/>
      <c r="BA837" s="26"/>
      <c r="BB837" s="26"/>
      <c r="BC837" s="26"/>
      <c r="BD837" s="26"/>
      <c r="BE837" s="26"/>
      <c r="BF837" s="26"/>
      <c r="BG837" s="26"/>
      <c r="BH837" s="26"/>
      <c r="BI837" s="26"/>
      <c r="BJ837" s="26"/>
      <c r="BK837" s="26"/>
      <c r="BL837" s="26"/>
    </row>
    <row r="838" spans="1:64"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row>
    <row r="839" spans="1:64"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c r="AK839" s="26"/>
      <c r="AL839" s="26"/>
      <c r="AM839" s="26"/>
      <c r="AN839" s="26"/>
      <c r="AO839" s="26"/>
      <c r="AP839" s="26"/>
      <c r="AQ839" s="26"/>
      <c r="AR839" s="26"/>
      <c r="AS839" s="26"/>
      <c r="AT839" s="26"/>
      <c r="AU839" s="26"/>
      <c r="AV839" s="26"/>
      <c r="AW839" s="26"/>
      <c r="AX839" s="26"/>
      <c r="AY839" s="26"/>
      <c r="AZ839" s="26"/>
      <c r="BA839" s="26"/>
      <c r="BB839" s="26"/>
      <c r="BC839" s="26"/>
      <c r="BD839" s="26"/>
      <c r="BE839" s="26"/>
      <c r="BF839" s="26"/>
      <c r="BG839" s="26"/>
      <c r="BH839" s="26"/>
      <c r="BI839" s="26"/>
      <c r="BJ839" s="26"/>
      <c r="BK839" s="26"/>
      <c r="BL839" s="26"/>
    </row>
    <row r="840" spans="1:64"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c r="BL840" s="26"/>
    </row>
    <row r="841" spans="1:64"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c r="AK841" s="26"/>
      <c r="AL841" s="26"/>
      <c r="AM841" s="26"/>
      <c r="AN841" s="26"/>
      <c r="AO841" s="26"/>
      <c r="AP841" s="26"/>
      <c r="AQ841" s="26"/>
      <c r="AR841" s="26"/>
      <c r="AS841" s="26"/>
      <c r="AT841" s="26"/>
      <c r="AU841" s="26"/>
      <c r="AV841" s="26"/>
      <c r="AW841" s="26"/>
      <c r="AX841" s="26"/>
      <c r="AY841" s="26"/>
      <c r="AZ841" s="26"/>
      <c r="BA841" s="26"/>
      <c r="BB841" s="26"/>
      <c r="BC841" s="26"/>
      <c r="BD841" s="26"/>
      <c r="BE841" s="26"/>
      <c r="BF841" s="26"/>
      <c r="BG841" s="26"/>
      <c r="BH841" s="26"/>
      <c r="BI841" s="26"/>
      <c r="BJ841" s="26"/>
      <c r="BK841" s="26"/>
      <c r="BL841" s="26"/>
    </row>
    <row r="842" spans="1:64"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c r="BL842" s="26"/>
    </row>
    <row r="843" spans="1:64"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c r="AK843" s="26"/>
      <c r="AL843" s="26"/>
      <c r="AM843" s="26"/>
      <c r="AN843" s="26"/>
      <c r="AO843" s="26"/>
      <c r="AP843" s="26"/>
      <c r="AQ843" s="26"/>
      <c r="AR843" s="26"/>
      <c r="AS843" s="26"/>
      <c r="AT843" s="26"/>
      <c r="AU843" s="26"/>
      <c r="AV843" s="26"/>
      <c r="AW843" s="26"/>
      <c r="AX843" s="26"/>
      <c r="AY843" s="26"/>
      <c r="AZ843" s="26"/>
      <c r="BA843" s="26"/>
      <c r="BB843" s="26"/>
      <c r="BC843" s="26"/>
      <c r="BD843" s="26"/>
      <c r="BE843" s="26"/>
      <c r="BF843" s="26"/>
      <c r="BG843" s="26"/>
      <c r="BH843" s="26"/>
      <c r="BI843" s="26"/>
      <c r="BJ843" s="26"/>
      <c r="BK843" s="26"/>
      <c r="BL843" s="26"/>
    </row>
    <row r="844" spans="1:6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c r="BL844" s="26"/>
    </row>
    <row r="845" spans="1:64"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c r="AK845" s="26"/>
      <c r="AL845" s="26"/>
      <c r="AM845" s="26"/>
      <c r="AN845" s="26"/>
      <c r="AO845" s="26"/>
      <c r="AP845" s="26"/>
      <c r="AQ845" s="26"/>
      <c r="AR845" s="26"/>
      <c r="AS845" s="26"/>
      <c r="AT845" s="26"/>
      <c r="AU845" s="26"/>
      <c r="AV845" s="26"/>
      <c r="AW845" s="26"/>
      <c r="AX845" s="26"/>
      <c r="AY845" s="26"/>
      <c r="AZ845" s="26"/>
      <c r="BA845" s="26"/>
      <c r="BB845" s="26"/>
      <c r="BC845" s="26"/>
      <c r="BD845" s="26"/>
      <c r="BE845" s="26"/>
      <c r="BF845" s="26"/>
      <c r="BG845" s="26"/>
      <c r="BH845" s="26"/>
      <c r="BI845" s="26"/>
      <c r="BJ845" s="26"/>
      <c r="BK845" s="26"/>
      <c r="BL845" s="26"/>
    </row>
    <row r="846" spans="1:64"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c r="BL846" s="26"/>
    </row>
    <row r="847" spans="1:64"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c r="AK847" s="26"/>
      <c r="AL847" s="26"/>
      <c r="AM847" s="26"/>
      <c r="AN847" s="26"/>
      <c r="AO847" s="26"/>
      <c r="AP847" s="26"/>
      <c r="AQ847" s="26"/>
      <c r="AR847" s="26"/>
      <c r="AS847" s="26"/>
      <c r="AT847" s="26"/>
      <c r="AU847" s="26"/>
      <c r="AV847" s="26"/>
      <c r="AW847" s="26"/>
      <c r="AX847" s="26"/>
      <c r="AY847" s="26"/>
      <c r="AZ847" s="26"/>
      <c r="BA847" s="26"/>
      <c r="BB847" s="26"/>
      <c r="BC847" s="26"/>
      <c r="BD847" s="26"/>
      <c r="BE847" s="26"/>
      <c r="BF847" s="26"/>
      <c r="BG847" s="26"/>
      <c r="BH847" s="26"/>
      <c r="BI847" s="26"/>
      <c r="BJ847" s="26"/>
      <c r="BK847" s="26"/>
      <c r="BL847" s="26"/>
    </row>
    <row r="848" spans="1:64"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c r="BL848" s="26"/>
    </row>
    <row r="849" spans="1:64"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c r="AK849" s="26"/>
      <c r="AL849" s="26"/>
      <c r="AM849" s="26"/>
      <c r="AN849" s="26"/>
      <c r="AO849" s="26"/>
      <c r="AP849" s="26"/>
      <c r="AQ849" s="26"/>
      <c r="AR849" s="26"/>
      <c r="AS849" s="26"/>
      <c r="AT849" s="26"/>
      <c r="AU849" s="26"/>
      <c r="AV849" s="26"/>
      <c r="AW849" s="26"/>
      <c r="AX849" s="26"/>
      <c r="AY849" s="26"/>
      <c r="AZ849" s="26"/>
      <c r="BA849" s="26"/>
      <c r="BB849" s="26"/>
      <c r="BC849" s="26"/>
      <c r="BD849" s="26"/>
      <c r="BE849" s="26"/>
      <c r="BF849" s="26"/>
      <c r="BG849" s="26"/>
      <c r="BH849" s="26"/>
      <c r="BI849" s="26"/>
      <c r="BJ849" s="26"/>
      <c r="BK849" s="26"/>
      <c r="BL849" s="26"/>
    </row>
    <row r="850" spans="1:64"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row>
    <row r="851" spans="1:64"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c r="AK851" s="26"/>
      <c r="AL851" s="26"/>
      <c r="AM851" s="26"/>
      <c r="AN851" s="26"/>
      <c r="AO851" s="26"/>
      <c r="AP851" s="26"/>
      <c r="AQ851" s="26"/>
      <c r="AR851" s="26"/>
      <c r="AS851" s="26"/>
      <c r="AT851" s="26"/>
      <c r="AU851" s="26"/>
      <c r="AV851" s="26"/>
      <c r="AW851" s="26"/>
      <c r="AX851" s="26"/>
      <c r="AY851" s="26"/>
      <c r="AZ851" s="26"/>
      <c r="BA851" s="26"/>
      <c r="BB851" s="26"/>
      <c r="BC851" s="26"/>
      <c r="BD851" s="26"/>
      <c r="BE851" s="26"/>
      <c r="BF851" s="26"/>
      <c r="BG851" s="26"/>
      <c r="BH851" s="26"/>
      <c r="BI851" s="26"/>
      <c r="BJ851" s="26"/>
      <c r="BK851" s="26"/>
      <c r="BL851" s="26"/>
    </row>
    <row r="852" spans="1:64"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c r="BL852" s="26"/>
    </row>
    <row r="853" spans="1:64"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c r="AK853" s="26"/>
      <c r="AL853" s="26"/>
      <c r="AM853" s="26"/>
      <c r="AN853" s="26"/>
      <c r="AO853" s="26"/>
      <c r="AP853" s="26"/>
      <c r="AQ853" s="26"/>
      <c r="AR853" s="26"/>
      <c r="AS853" s="26"/>
      <c r="AT853" s="26"/>
      <c r="AU853" s="26"/>
      <c r="AV853" s="26"/>
      <c r="AW853" s="26"/>
      <c r="AX853" s="26"/>
      <c r="AY853" s="26"/>
      <c r="AZ853" s="26"/>
      <c r="BA853" s="26"/>
      <c r="BB853" s="26"/>
      <c r="BC853" s="26"/>
      <c r="BD853" s="26"/>
      <c r="BE853" s="26"/>
      <c r="BF853" s="26"/>
      <c r="BG853" s="26"/>
      <c r="BH853" s="26"/>
      <c r="BI853" s="26"/>
      <c r="BJ853" s="26"/>
      <c r="BK853" s="26"/>
      <c r="BL853" s="26"/>
    </row>
    <row r="854" spans="1:6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c r="BL854" s="26"/>
    </row>
    <row r="855" spans="1:64"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c r="AK855" s="26"/>
      <c r="AL855" s="26"/>
      <c r="AM855" s="26"/>
      <c r="AN855" s="26"/>
      <c r="AO855" s="26"/>
      <c r="AP855" s="26"/>
      <c r="AQ855" s="26"/>
      <c r="AR855" s="26"/>
      <c r="AS855" s="26"/>
      <c r="AT855" s="26"/>
      <c r="AU855" s="26"/>
      <c r="AV855" s="26"/>
      <c r="AW855" s="26"/>
      <c r="AX855" s="26"/>
      <c r="AY855" s="26"/>
      <c r="AZ855" s="26"/>
      <c r="BA855" s="26"/>
      <c r="BB855" s="26"/>
      <c r="BC855" s="26"/>
      <c r="BD855" s="26"/>
      <c r="BE855" s="26"/>
      <c r="BF855" s="26"/>
      <c r="BG855" s="26"/>
      <c r="BH855" s="26"/>
      <c r="BI855" s="26"/>
      <c r="BJ855" s="26"/>
      <c r="BK855" s="26"/>
      <c r="BL855" s="26"/>
    </row>
    <row r="856" spans="1:64"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row>
    <row r="857" spans="1:64"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c r="AK857" s="26"/>
      <c r="AL857" s="26"/>
      <c r="AM857" s="26"/>
      <c r="AN857" s="26"/>
      <c r="AO857" s="26"/>
      <c r="AP857" s="26"/>
      <c r="AQ857" s="26"/>
      <c r="AR857" s="26"/>
      <c r="AS857" s="26"/>
      <c r="AT857" s="26"/>
      <c r="AU857" s="26"/>
      <c r="AV857" s="26"/>
      <c r="AW857" s="26"/>
      <c r="AX857" s="26"/>
      <c r="AY857" s="26"/>
      <c r="AZ857" s="26"/>
      <c r="BA857" s="26"/>
      <c r="BB857" s="26"/>
      <c r="BC857" s="26"/>
      <c r="BD857" s="26"/>
      <c r="BE857" s="26"/>
      <c r="BF857" s="26"/>
      <c r="BG857" s="26"/>
      <c r="BH857" s="26"/>
      <c r="BI857" s="26"/>
      <c r="BJ857" s="26"/>
      <c r="BK857" s="26"/>
      <c r="BL857" s="26"/>
    </row>
    <row r="858" spans="1:64"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row>
    <row r="859" spans="1:64"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c r="AK859" s="26"/>
      <c r="AL859" s="26"/>
      <c r="AM859" s="26"/>
      <c r="AN859" s="26"/>
      <c r="AO859" s="26"/>
      <c r="AP859" s="26"/>
      <c r="AQ859" s="26"/>
      <c r="AR859" s="26"/>
      <c r="AS859" s="26"/>
      <c r="AT859" s="26"/>
      <c r="AU859" s="26"/>
      <c r="AV859" s="26"/>
      <c r="AW859" s="26"/>
      <c r="AX859" s="26"/>
      <c r="AY859" s="26"/>
      <c r="AZ859" s="26"/>
      <c r="BA859" s="26"/>
      <c r="BB859" s="26"/>
      <c r="BC859" s="26"/>
      <c r="BD859" s="26"/>
      <c r="BE859" s="26"/>
      <c r="BF859" s="26"/>
      <c r="BG859" s="26"/>
      <c r="BH859" s="26"/>
      <c r="BI859" s="26"/>
      <c r="BJ859" s="26"/>
      <c r="BK859" s="26"/>
      <c r="BL859" s="26"/>
    </row>
    <row r="860" spans="1:64"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row>
    <row r="861" spans="1:64"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c r="AK861" s="26"/>
      <c r="AL861" s="26"/>
      <c r="AM861" s="26"/>
      <c r="AN861" s="26"/>
      <c r="AO861" s="26"/>
      <c r="AP861" s="26"/>
      <c r="AQ861" s="26"/>
      <c r="AR861" s="26"/>
      <c r="AS861" s="26"/>
      <c r="AT861" s="26"/>
      <c r="AU861" s="26"/>
      <c r="AV861" s="26"/>
      <c r="AW861" s="26"/>
      <c r="AX861" s="26"/>
      <c r="AY861" s="26"/>
      <c r="AZ861" s="26"/>
      <c r="BA861" s="26"/>
      <c r="BB861" s="26"/>
      <c r="BC861" s="26"/>
      <c r="BD861" s="26"/>
      <c r="BE861" s="26"/>
      <c r="BF861" s="26"/>
      <c r="BG861" s="26"/>
      <c r="BH861" s="26"/>
      <c r="BI861" s="26"/>
      <c r="BJ861" s="26"/>
      <c r="BK861" s="26"/>
      <c r="BL861" s="26"/>
    </row>
    <row r="862" spans="1:64"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row>
    <row r="863" spans="1:64"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c r="AK863" s="26"/>
      <c r="AL863" s="26"/>
      <c r="AM863" s="26"/>
      <c r="AN863" s="26"/>
      <c r="AO863" s="26"/>
      <c r="AP863" s="26"/>
      <c r="AQ863" s="26"/>
      <c r="AR863" s="26"/>
      <c r="AS863" s="26"/>
      <c r="AT863" s="26"/>
      <c r="AU863" s="26"/>
      <c r="AV863" s="26"/>
      <c r="AW863" s="26"/>
      <c r="AX863" s="26"/>
      <c r="AY863" s="26"/>
      <c r="AZ863" s="26"/>
      <c r="BA863" s="26"/>
      <c r="BB863" s="26"/>
      <c r="BC863" s="26"/>
      <c r="BD863" s="26"/>
      <c r="BE863" s="26"/>
      <c r="BF863" s="26"/>
      <c r="BG863" s="26"/>
      <c r="BH863" s="26"/>
      <c r="BI863" s="26"/>
      <c r="BJ863" s="26"/>
      <c r="BK863" s="26"/>
      <c r="BL863" s="26"/>
    </row>
    <row r="864" spans="1: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row>
    <row r="865" spans="1:64"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c r="AK865" s="26"/>
      <c r="AL865" s="26"/>
      <c r="AM865" s="26"/>
      <c r="AN865" s="26"/>
      <c r="AO865" s="26"/>
      <c r="AP865" s="26"/>
      <c r="AQ865" s="26"/>
      <c r="AR865" s="26"/>
      <c r="AS865" s="26"/>
      <c r="AT865" s="26"/>
      <c r="AU865" s="26"/>
      <c r="AV865" s="26"/>
      <c r="AW865" s="26"/>
      <c r="AX865" s="26"/>
      <c r="AY865" s="26"/>
      <c r="AZ865" s="26"/>
      <c r="BA865" s="26"/>
      <c r="BB865" s="26"/>
      <c r="BC865" s="26"/>
      <c r="BD865" s="26"/>
      <c r="BE865" s="26"/>
      <c r="BF865" s="26"/>
      <c r="BG865" s="26"/>
      <c r="BH865" s="26"/>
      <c r="BI865" s="26"/>
      <c r="BJ865" s="26"/>
      <c r="BK865" s="26"/>
      <c r="BL865" s="26"/>
    </row>
    <row r="866" spans="1:64"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c r="BL866" s="26"/>
    </row>
    <row r="867" spans="1:64"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c r="AK867" s="26"/>
      <c r="AL867" s="26"/>
      <c r="AM867" s="26"/>
      <c r="AN867" s="26"/>
      <c r="AO867" s="26"/>
      <c r="AP867" s="26"/>
      <c r="AQ867" s="26"/>
      <c r="AR867" s="26"/>
      <c r="AS867" s="26"/>
      <c r="AT867" s="26"/>
      <c r="AU867" s="26"/>
      <c r="AV867" s="26"/>
      <c r="AW867" s="26"/>
      <c r="AX867" s="26"/>
      <c r="AY867" s="26"/>
      <c r="AZ867" s="26"/>
      <c r="BA867" s="26"/>
      <c r="BB867" s="26"/>
      <c r="BC867" s="26"/>
      <c r="BD867" s="26"/>
      <c r="BE867" s="26"/>
      <c r="BF867" s="26"/>
      <c r="BG867" s="26"/>
      <c r="BH867" s="26"/>
      <c r="BI867" s="26"/>
      <c r="BJ867" s="26"/>
      <c r="BK867" s="26"/>
      <c r="BL867" s="26"/>
    </row>
    <row r="868" spans="1:64"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row>
    <row r="869" spans="1:64"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c r="AK869" s="26"/>
      <c r="AL869" s="26"/>
      <c r="AM869" s="26"/>
      <c r="AN869" s="26"/>
      <c r="AO869" s="26"/>
      <c r="AP869" s="26"/>
      <c r="AQ869" s="26"/>
      <c r="AR869" s="26"/>
      <c r="AS869" s="26"/>
      <c r="AT869" s="26"/>
      <c r="AU869" s="26"/>
      <c r="AV869" s="26"/>
      <c r="AW869" s="26"/>
      <c r="AX869" s="26"/>
      <c r="AY869" s="26"/>
      <c r="AZ869" s="26"/>
      <c r="BA869" s="26"/>
      <c r="BB869" s="26"/>
      <c r="BC869" s="26"/>
      <c r="BD869" s="26"/>
      <c r="BE869" s="26"/>
      <c r="BF869" s="26"/>
      <c r="BG869" s="26"/>
      <c r="BH869" s="26"/>
      <c r="BI869" s="26"/>
      <c r="BJ869" s="26"/>
      <c r="BK869" s="26"/>
      <c r="BL869" s="26"/>
    </row>
    <row r="870" spans="1:64"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row>
    <row r="871" spans="1:64"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c r="AK871" s="26"/>
      <c r="AL871" s="26"/>
      <c r="AM871" s="26"/>
      <c r="AN871" s="26"/>
      <c r="AO871" s="26"/>
      <c r="AP871" s="26"/>
      <c r="AQ871" s="26"/>
      <c r="AR871" s="26"/>
      <c r="AS871" s="26"/>
      <c r="AT871" s="26"/>
      <c r="AU871" s="26"/>
      <c r="AV871" s="26"/>
      <c r="AW871" s="26"/>
      <c r="AX871" s="26"/>
      <c r="AY871" s="26"/>
      <c r="AZ871" s="26"/>
      <c r="BA871" s="26"/>
      <c r="BB871" s="26"/>
      <c r="BC871" s="26"/>
      <c r="BD871" s="26"/>
      <c r="BE871" s="26"/>
      <c r="BF871" s="26"/>
      <c r="BG871" s="26"/>
      <c r="BH871" s="26"/>
      <c r="BI871" s="26"/>
      <c r="BJ871" s="26"/>
      <c r="BK871" s="26"/>
      <c r="BL871" s="26"/>
    </row>
    <row r="872" spans="1:64"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c r="BL872" s="26"/>
    </row>
    <row r="873" spans="1:64"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c r="AK873" s="26"/>
      <c r="AL873" s="26"/>
      <c r="AM873" s="26"/>
      <c r="AN873" s="26"/>
      <c r="AO873" s="26"/>
      <c r="AP873" s="26"/>
      <c r="AQ873" s="26"/>
      <c r="AR873" s="26"/>
      <c r="AS873" s="26"/>
      <c r="AT873" s="26"/>
      <c r="AU873" s="26"/>
      <c r="AV873" s="26"/>
      <c r="AW873" s="26"/>
      <c r="AX873" s="26"/>
      <c r="AY873" s="26"/>
      <c r="AZ873" s="26"/>
      <c r="BA873" s="26"/>
      <c r="BB873" s="26"/>
      <c r="BC873" s="26"/>
      <c r="BD873" s="26"/>
      <c r="BE873" s="26"/>
      <c r="BF873" s="26"/>
      <c r="BG873" s="26"/>
      <c r="BH873" s="26"/>
      <c r="BI873" s="26"/>
      <c r="BJ873" s="26"/>
      <c r="BK873" s="26"/>
      <c r="BL873" s="26"/>
    </row>
    <row r="874" spans="1:6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row>
    <row r="875" spans="1:64"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c r="AK875" s="26"/>
      <c r="AL875" s="26"/>
      <c r="AM875" s="26"/>
      <c r="AN875" s="26"/>
      <c r="AO875" s="26"/>
      <c r="AP875" s="26"/>
      <c r="AQ875" s="26"/>
      <c r="AR875" s="26"/>
      <c r="AS875" s="26"/>
      <c r="AT875" s="26"/>
      <c r="AU875" s="26"/>
      <c r="AV875" s="26"/>
      <c r="AW875" s="26"/>
      <c r="AX875" s="26"/>
      <c r="AY875" s="26"/>
      <c r="AZ875" s="26"/>
      <c r="BA875" s="26"/>
      <c r="BB875" s="26"/>
      <c r="BC875" s="26"/>
      <c r="BD875" s="26"/>
      <c r="BE875" s="26"/>
      <c r="BF875" s="26"/>
      <c r="BG875" s="26"/>
      <c r="BH875" s="26"/>
      <c r="BI875" s="26"/>
      <c r="BJ875" s="26"/>
      <c r="BK875" s="26"/>
      <c r="BL875" s="26"/>
    </row>
    <row r="876" spans="1:64"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row>
    <row r="877" spans="1:64"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c r="AK877" s="26"/>
      <c r="AL877" s="26"/>
      <c r="AM877" s="26"/>
      <c r="AN877" s="26"/>
      <c r="AO877" s="26"/>
      <c r="AP877" s="26"/>
      <c r="AQ877" s="26"/>
      <c r="AR877" s="26"/>
      <c r="AS877" s="26"/>
      <c r="AT877" s="26"/>
      <c r="AU877" s="26"/>
      <c r="AV877" s="26"/>
      <c r="AW877" s="26"/>
      <c r="AX877" s="26"/>
      <c r="AY877" s="26"/>
      <c r="AZ877" s="26"/>
      <c r="BA877" s="26"/>
      <c r="BB877" s="26"/>
      <c r="BC877" s="26"/>
      <c r="BD877" s="26"/>
      <c r="BE877" s="26"/>
      <c r="BF877" s="26"/>
      <c r="BG877" s="26"/>
      <c r="BH877" s="26"/>
      <c r="BI877" s="26"/>
      <c r="BJ877" s="26"/>
      <c r="BK877" s="26"/>
      <c r="BL877" s="26"/>
    </row>
    <row r="878" spans="1:64"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row>
    <row r="879" spans="1:64"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c r="AK879" s="26"/>
      <c r="AL879" s="26"/>
      <c r="AM879" s="26"/>
      <c r="AN879" s="26"/>
      <c r="AO879" s="26"/>
      <c r="AP879" s="26"/>
      <c r="AQ879" s="26"/>
      <c r="AR879" s="26"/>
      <c r="AS879" s="26"/>
      <c r="AT879" s="26"/>
      <c r="AU879" s="26"/>
      <c r="AV879" s="26"/>
      <c r="AW879" s="26"/>
      <c r="AX879" s="26"/>
      <c r="AY879" s="26"/>
      <c r="AZ879" s="26"/>
      <c r="BA879" s="26"/>
      <c r="BB879" s="26"/>
      <c r="BC879" s="26"/>
      <c r="BD879" s="26"/>
      <c r="BE879" s="26"/>
      <c r="BF879" s="26"/>
      <c r="BG879" s="26"/>
      <c r="BH879" s="26"/>
      <c r="BI879" s="26"/>
      <c r="BJ879" s="26"/>
      <c r="BK879" s="26"/>
      <c r="BL879" s="26"/>
    </row>
    <row r="880" spans="1:64"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c r="BL880" s="26"/>
    </row>
    <row r="881" spans="1:64"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c r="AK881" s="26"/>
      <c r="AL881" s="26"/>
      <c r="AM881" s="26"/>
      <c r="AN881" s="26"/>
      <c r="AO881" s="26"/>
      <c r="AP881" s="26"/>
      <c r="AQ881" s="26"/>
      <c r="AR881" s="26"/>
      <c r="AS881" s="26"/>
      <c r="AT881" s="26"/>
      <c r="AU881" s="26"/>
      <c r="AV881" s="26"/>
      <c r="AW881" s="26"/>
      <c r="AX881" s="26"/>
      <c r="AY881" s="26"/>
      <c r="AZ881" s="26"/>
      <c r="BA881" s="26"/>
      <c r="BB881" s="26"/>
      <c r="BC881" s="26"/>
      <c r="BD881" s="26"/>
      <c r="BE881" s="26"/>
      <c r="BF881" s="26"/>
      <c r="BG881" s="26"/>
      <c r="BH881" s="26"/>
      <c r="BI881" s="26"/>
      <c r="BJ881" s="26"/>
      <c r="BK881" s="26"/>
      <c r="BL881" s="26"/>
    </row>
    <row r="882" spans="1:64"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c r="BL882" s="26"/>
    </row>
    <row r="883" spans="1:64"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c r="AK883" s="26"/>
      <c r="AL883" s="26"/>
      <c r="AM883" s="26"/>
      <c r="AN883" s="26"/>
      <c r="AO883" s="26"/>
      <c r="AP883" s="26"/>
      <c r="AQ883" s="26"/>
      <c r="AR883" s="26"/>
      <c r="AS883" s="26"/>
      <c r="AT883" s="26"/>
      <c r="AU883" s="26"/>
      <c r="AV883" s="26"/>
      <c r="AW883" s="26"/>
      <c r="AX883" s="26"/>
      <c r="AY883" s="26"/>
      <c r="AZ883" s="26"/>
      <c r="BA883" s="26"/>
      <c r="BB883" s="26"/>
      <c r="BC883" s="26"/>
      <c r="BD883" s="26"/>
      <c r="BE883" s="26"/>
      <c r="BF883" s="26"/>
      <c r="BG883" s="26"/>
      <c r="BH883" s="26"/>
      <c r="BI883" s="26"/>
      <c r="BJ883" s="26"/>
      <c r="BK883" s="26"/>
      <c r="BL883" s="26"/>
    </row>
    <row r="884" spans="1:6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c r="BL884" s="26"/>
    </row>
    <row r="885" spans="1:64"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c r="AK885" s="26"/>
      <c r="AL885" s="26"/>
      <c r="AM885" s="26"/>
      <c r="AN885" s="26"/>
      <c r="AO885" s="26"/>
      <c r="AP885" s="26"/>
      <c r="AQ885" s="26"/>
      <c r="AR885" s="26"/>
      <c r="AS885" s="26"/>
      <c r="AT885" s="26"/>
      <c r="AU885" s="26"/>
      <c r="AV885" s="26"/>
      <c r="AW885" s="26"/>
      <c r="AX885" s="26"/>
      <c r="AY885" s="26"/>
      <c r="AZ885" s="26"/>
      <c r="BA885" s="26"/>
      <c r="BB885" s="26"/>
      <c r="BC885" s="26"/>
      <c r="BD885" s="26"/>
      <c r="BE885" s="26"/>
      <c r="BF885" s="26"/>
      <c r="BG885" s="26"/>
      <c r="BH885" s="26"/>
      <c r="BI885" s="26"/>
      <c r="BJ885" s="26"/>
      <c r="BK885" s="26"/>
      <c r="BL885" s="26"/>
    </row>
    <row r="886" spans="1:64"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c r="BL886" s="26"/>
    </row>
    <row r="887" spans="1:64"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c r="AK887" s="26"/>
      <c r="AL887" s="26"/>
      <c r="AM887" s="26"/>
      <c r="AN887" s="26"/>
      <c r="AO887" s="26"/>
      <c r="AP887" s="26"/>
      <c r="AQ887" s="26"/>
      <c r="AR887" s="26"/>
      <c r="AS887" s="26"/>
      <c r="AT887" s="26"/>
      <c r="AU887" s="26"/>
      <c r="AV887" s="26"/>
      <c r="AW887" s="26"/>
      <c r="AX887" s="26"/>
      <c r="AY887" s="26"/>
      <c r="AZ887" s="26"/>
      <c r="BA887" s="26"/>
      <c r="BB887" s="26"/>
      <c r="BC887" s="26"/>
      <c r="BD887" s="26"/>
      <c r="BE887" s="26"/>
      <c r="BF887" s="26"/>
      <c r="BG887" s="26"/>
      <c r="BH887" s="26"/>
      <c r="BI887" s="26"/>
      <c r="BJ887" s="26"/>
      <c r="BK887" s="26"/>
      <c r="BL887" s="26"/>
    </row>
    <row r="888" spans="1:64"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c r="BL888" s="26"/>
    </row>
    <row r="889" spans="1:64"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c r="AK889" s="26"/>
      <c r="AL889" s="26"/>
      <c r="AM889" s="26"/>
      <c r="AN889" s="26"/>
      <c r="AO889" s="26"/>
      <c r="AP889" s="26"/>
      <c r="AQ889" s="26"/>
      <c r="AR889" s="26"/>
      <c r="AS889" s="26"/>
      <c r="AT889" s="26"/>
      <c r="AU889" s="26"/>
      <c r="AV889" s="26"/>
      <c r="AW889" s="26"/>
      <c r="AX889" s="26"/>
      <c r="AY889" s="26"/>
      <c r="AZ889" s="26"/>
      <c r="BA889" s="26"/>
      <c r="BB889" s="26"/>
      <c r="BC889" s="26"/>
      <c r="BD889" s="26"/>
      <c r="BE889" s="26"/>
      <c r="BF889" s="26"/>
      <c r="BG889" s="26"/>
      <c r="BH889" s="26"/>
      <c r="BI889" s="26"/>
      <c r="BJ889" s="26"/>
      <c r="BK889" s="26"/>
      <c r="BL889" s="26"/>
    </row>
    <row r="890" spans="1:64"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row>
    <row r="891" spans="1:64"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c r="AK891" s="26"/>
      <c r="AL891" s="26"/>
      <c r="AM891" s="26"/>
      <c r="AN891" s="26"/>
      <c r="AO891" s="26"/>
      <c r="AP891" s="26"/>
      <c r="AQ891" s="26"/>
      <c r="AR891" s="26"/>
      <c r="AS891" s="26"/>
      <c r="AT891" s="26"/>
      <c r="AU891" s="26"/>
      <c r="AV891" s="26"/>
      <c r="AW891" s="26"/>
      <c r="AX891" s="26"/>
      <c r="AY891" s="26"/>
      <c r="AZ891" s="26"/>
      <c r="BA891" s="26"/>
      <c r="BB891" s="26"/>
      <c r="BC891" s="26"/>
      <c r="BD891" s="26"/>
      <c r="BE891" s="26"/>
      <c r="BF891" s="26"/>
      <c r="BG891" s="26"/>
      <c r="BH891" s="26"/>
      <c r="BI891" s="26"/>
      <c r="BJ891" s="26"/>
      <c r="BK891" s="26"/>
      <c r="BL891" s="26"/>
    </row>
    <row r="892" spans="1:64"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row>
    <row r="893" spans="1:64"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c r="AK893" s="26"/>
      <c r="AL893" s="26"/>
      <c r="AM893" s="26"/>
      <c r="AN893" s="26"/>
      <c r="AO893" s="26"/>
      <c r="AP893" s="26"/>
      <c r="AQ893" s="26"/>
      <c r="AR893" s="26"/>
      <c r="AS893" s="26"/>
      <c r="AT893" s="26"/>
      <c r="AU893" s="26"/>
      <c r="AV893" s="26"/>
      <c r="AW893" s="26"/>
      <c r="AX893" s="26"/>
      <c r="AY893" s="26"/>
      <c r="AZ893" s="26"/>
      <c r="BA893" s="26"/>
      <c r="BB893" s="26"/>
      <c r="BC893" s="26"/>
      <c r="BD893" s="26"/>
      <c r="BE893" s="26"/>
      <c r="BF893" s="26"/>
      <c r="BG893" s="26"/>
      <c r="BH893" s="26"/>
      <c r="BI893" s="26"/>
      <c r="BJ893" s="26"/>
      <c r="BK893" s="26"/>
      <c r="BL893" s="26"/>
    </row>
    <row r="894" spans="1:6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row>
    <row r="895" spans="1:64"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c r="AK895" s="26"/>
      <c r="AL895" s="26"/>
      <c r="AM895" s="26"/>
      <c r="AN895" s="26"/>
      <c r="AO895" s="26"/>
      <c r="AP895" s="26"/>
      <c r="AQ895" s="26"/>
      <c r="AR895" s="26"/>
      <c r="AS895" s="26"/>
      <c r="AT895" s="26"/>
      <c r="AU895" s="26"/>
      <c r="AV895" s="26"/>
      <c r="AW895" s="26"/>
      <c r="AX895" s="26"/>
      <c r="AY895" s="26"/>
      <c r="AZ895" s="26"/>
      <c r="BA895" s="26"/>
      <c r="BB895" s="26"/>
      <c r="BC895" s="26"/>
      <c r="BD895" s="26"/>
      <c r="BE895" s="26"/>
      <c r="BF895" s="26"/>
      <c r="BG895" s="26"/>
      <c r="BH895" s="26"/>
      <c r="BI895" s="26"/>
      <c r="BJ895" s="26"/>
      <c r="BK895" s="26"/>
      <c r="BL895" s="26"/>
    </row>
    <row r="896" spans="1:64"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c r="BL896" s="26"/>
    </row>
    <row r="897" spans="1:64"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c r="AK897" s="26"/>
      <c r="AL897" s="26"/>
      <c r="AM897" s="26"/>
      <c r="AN897" s="26"/>
      <c r="AO897" s="26"/>
      <c r="AP897" s="26"/>
      <c r="AQ897" s="26"/>
      <c r="AR897" s="26"/>
      <c r="AS897" s="26"/>
      <c r="AT897" s="26"/>
      <c r="AU897" s="26"/>
      <c r="AV897" s="26"/>
      <c r="AW897" s="26"/>
      <c r="AX897" s="26"/>
      <c r="AY897" s="26"/>
      <c r="AZ897" s="26"/>
      <c r="BA897" s="26"/>
      <c r="BB897" s="26"/>
      <c r="BC897" s="26"/>
      <c r="BD897" s="26"/>
      <c r="BE897" s="26"/>
      <c r="BF897" s="26"/>
      <c r="BG897" s="26"/>
      <c r="BH897" s="26"/>
      <c r="BI897" s="26"/>
      <c r="BJ897" s="26"/>
      <c r="BK897" s="26"/>
      <c r="BL897" s="26"/>
    </row>
    <row r="898" spans="1:64"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row>
    <row r="899" spans="1:64"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c r="AK899" s="26"/>
      <c r="AL899" s="26"/>
      <c r="AM899" s="26"/>
      <c r="AN899" s="26"/>
      <c r="AO899" s="26"/>
      <c r="AP899" s="26"/>
      <c r="AQ899" s="26"/>
      <c r="AR899" s="26"/>
      <c r="AS899" s="26"/>
      <c r="AT899" s="26"/>
      <c r="AU899" s="26"/>
      <c r="AV899" s="26"/>
      <c r="AW899" s="26"/>
      <c r="AX899" s="26"/>
      <c r="AY899" s="26"/>
      <c r="AZ899" s="26"/>
      <c r="BA899" s="26"/>
      <c r="BB899" s="26"/>
      <c r="BC899" s="26"/>
      <c r="BD899" s="26"/>
      <c r="BE899" s="26"/>
      <c r="BF899" s="26"/>
      <c r="BG899" s="26"/>
      <c r="BH899" s="26"/>
      <c r="BI899" s="26"/>
      <c r="BJ899" s="26"/>
      <c r="BK899" s="26"/>
      <c r="BL899" s="26"/>
    </row>
    <row r="900" spans="1:64"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row>
    <row r="901" spans="1:64"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c r="AK901" s="26"/>
      <c r="AL901" s="26"/>
      <c r="AM901" s="26"/>
      <c r="AN901" s="26"/>
      <c r="AO901" s="26"/>
      <c r="AP901" s="26"/>
      <c r="AQ901" s="26"/>
      <c r="AR901" s="26"/>
      <c r="AS901" s="26"/>
      <c r="AT901" s="26"/>
      <c r="AU901" s="26"/>
      <c r="AV901" s="26"/>
      <c r="AW901" s="26"/>
      <c r="AX901" s="26"/>
      <c r="AY901" s="26"/>
      <c r="AZ901" s="26"/>
      <c r="BA901" s="26"/>
      <c r="BB901" s="26"/>
      <c r="BC901" s="26"/>
      <c r="BD901" s="26"/>
      <c r="BE901" s="26"/>
      <c r="BF901" s="26"/>
      <c r="BG901" s="26"/>
      <c r="BH901" s="26"/>
      <c r="BI901" s="26"/>
      <c r="BJ901" s="26"/>
      <c r="BK901" s="26"/>
      <c r="BL901" s="26"/>
    </row>
    <row r="902" spans="1:64"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row>
    <row r="903" spans="1:64"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c r="AK903" s="26"/>
      <c r="AL903" s="26"/>
      <c r="AM903" s="26"/>
      <c r="AN903" s="26"/>
      <c r="AO903" s="26"/>
      <c r="AP903" s="26"/>
      <c r="AQ903" s="26"/>
      <c r="AR903" s="26"/>
      <c r="AS903" s="26"/>
      <c r="AT903" s="26"/>
      <c r="AU903" s="26"/>
      <c r="AV903" s="26"/>
      <c r="AW903" s="26"/>
      <c r="AX903" s="26"/>
      <c r="AY903" s="26"/>
      <c r="AZ903" s="26"/>
      <c r="BA903" s="26"/>
      <c r="BB903" s="26"/>
      <c r="BC903" s="26"/>
      <c r="BD903" s="26"/>
      <c r="BE903" s="26"/>
      <c r="BF903" s="26"/>
      <c r="BG903" s="26"/>
      <c r="BH903" s="26"/>
      <c r="BI903" s="26"/>
      <c r="BJ903" s="26"/>
      <c r="BK903" s="26"/>
      <c r="BL903" s="26"/>
    </row>
    <row r="904" spans="1:6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row>
    <row r="905" spans="1:64"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c r="AK905" s="26"/>
      <c r="AL905" s="26"/>
      <c r="AM905" s="26"/>
      <c r="AN905" s="26"/>
      <c r="AO905" s="26"/>
      <c r="AP905" s="26"/>
      <c r="AQ905" s="26"/>
      <c r="AR905" s="26"/>
      <c r="AS905" s="26"/>
      <c r="AT905" s="26"/>
      <c r="AU905" s="26"/>
      <c r="AV905" s="26"/>
      <c r="AW905" s="26"/>
      <c r="AX905" s="26"/>
      <c r="AY905" s="26"/>
      <c r="AZ905" s="26"/>
      <c r="BA905" s="26"/>
      <c r="BB905" s="26"/>
      <c r="BC905" s="26"/>
      <c r="BD905" s="26"/>
      <c r="BE905" s="26"/>
      <c r="BF905" s="26"/>
      <c r="BG905" s="26"/>
      <c r="BH905" s="26"/>
      <c r="BI905" s="26"/>
      <c r="BJ905" s="26"/>
      <c r="BK905" s="26"/>
      <c r="BL905" s="26"/>
    </row>
    <row r="906" spans="1:64"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row>
    <row r="907" spans="1:64"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c r="AK907" s="26"/>
      <c r="AL907" s="26"/>
      <c r="AM907" s="26"/>
      <c r="AN907" s="26"/>
      <c r="AO907" s="26"/>
      <c r="AP907" s="26"/>
      <c r="AQ907" s="26"/>
      <c r="AR907" s="26"/>
      <c r="AS907" s="26"/>
      <c r="AT907" s="26"/>
      <c r="AU907" s="26"/>
      <c r="AV907" s="26"/>
      <c r="AW907" s="26"/>
      <c r="AX907" s="26"/>
      <c r="AY907" s="26"/>
      <c r="AZ907" s="26"/>
      <c r="BA907" s="26"/>
      <c r="BB907" s="26"/>
      <c r="BC907" s="26"/>
      <c r="BD907" s="26"/>
      <c r="BE907" s="26"/>
      <c r="BF907" s="26"/>
      <c r="BG907" s="26"/>
      <c r="BH907" s="26"/>
      <c r="BI907" s="26"/>
      <c r="BJ907" s="26"/>
      <c r="BK907" s="26"/>
      <c r="BL907" s="26"/>
    </row>
    <row r="908" spans="1:64"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row>
    <row r="909" spans="1:64"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c r="AK909" s="26"/>
      <c r="AL909" s="26"/>
      <c r="AM909" s="26"/>
      <c r="AN909" s="26"/>
      <c r="AO909" s="26"/>
      <c r="AP909" s="26"/>
      <c r="AQ909" s="26"/>
      <c r="AR909" s="26"/>
      <c r="AS909" s="26"/>
      <c r="AT909" s="26"/>
      <c r="AU909" s="26"/>
      <c r="AV909" s="26"/>
      <c r="AW909" s="26"/>
      <c r="AX909" s="26"/>
      <c r="AY909" s="26"/>
      <c r="AZ909" s="26"/>
      <c r="BA909" s="26"/>
      <c r="BB909" s="26"/>
      <c r="BC909" s="26"/>
      <c r="BD909" s="26"/>
      <c r="BE909" s="26"/>
      <c r="BF909" s="26"/>
      <c r="BG909" s="26"/>
      <c r="BH909" s="26"/>
      <c r="BI909" s="26"/>
      <c r="BJ909" s="26"/>
      <c r="BK909" s="26"/>
      <c r="BL909" s="26"/>
    </row>
    <row r="910" spans="1:64"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row>
    <row r="911" spans="1:64"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c r="AK911" s="26"/>
      <c r="AL911" s="26"/>
      <c r="AM911" s="26"/>
      <c r="AN911" s="26"/>
      <c r="AO911" s="26"/>
      <c r="AP911" s="26"/>
      <c r="AQ911" s="26"/>
      <c r="AR911" s="26"/>
      <c r="AS911" s="26"/>
      <c r="AT911" s="26"/>
      <c r="AU911" s="26"/>
      <c r="AV911" s="26"/>
      <c r="AW911" s="26"/>
      <c r="AX911" s="26"/>
      <c r="AY911" s="26"/>
      <c r="AZ911" s="26"/>
      <c r="BA911" s="26"/>
      <c r="BB911" s="26"/>
      <c r="BC911" s="26"/>
      <c r="BD911" s="26"/>
      <c r="BE911" s="26"/>
      <c r="BF911" s="26"/>
      <c r="BG911" s="26"/>
      <c r="BH911" s="26"/>
      <c r="BI911" s="26"/>
      <c r="BJ911" s="26"/>
      <c r="BK911" s="26"/>
      <c r="BL911" s="26"/>
    </row>
    <row r="912" spans="1:64"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row>
    <row r="913" spans="1:64"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c r="AK913" s="26"/>
      <c r="AL913" s="26"/>
      <c r="AM913" s="26"/>
      <c r="AN913" s="26"/>
      <c r="AO913" s="26"/>
      <c r="AP913" s="26"/>
      <c r="AQ913" s="26"/>
      <c r="AR913" s="26"/>
      <c r="AS913" s="26"/>
      <c r="AT913" s="26"/>
      <c r="AU913" s="26"/>
      <c r="AV913" s="26"/>
      <c r="AW913" s="26"/>
      <c r="AX913" s="26"/>
      <c r="AY913" s="26"/>
      <c r="AZ913" s="26"/>
      <c r="BA913" s="26"/>
      <c r="BB913" s="26"/>
      <c r="BC913" s="26"/>
      <c r="BD913" s="26"/>
      <c r="BE913" s="26"/>
      <c r="BF913" s="26"/>
      <c r="BG913" s="26"/>
      <c r="BH913" s="26"/>
      <c r="BI913" s="26"/>
      <c r="BJ913" s="26"/>
      <c r="BK913" s="26"/>
      <c r="BL913" s="26"/>
    </row>
    <row r="914" spans="1:6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row>
    <row r="915" spans="1:64"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c r="AK915" s="26"/>
      <c r="AL915" s="26"/>
      <c r="AM915" s="26"/>
      <c r="AN915" s="26"/>
      <c r="AO915" s="26"/>
      <c r="AP915" s="26"/>
      <c r="AQ915" s="26"/>
      <c r="AR915" s="26"/>
      <c r="AS915" s="26"/>
      <c r="AT915" s="26"/>
      <c r="AU915" s="26"/>
      <c r="AV915" s="26"/>
      <c r="AW915" s="26"/>
      <c r="AX915" s="26"/>
      <c r="AY915" s="26"/>
      <c r="AZ915" s="26"/>
      <c r="BA915" s="26"/>
      <c r="BB915" s="26"/>
      <c r="BC915" s="26"/>
      <c r="BD915" s="26"/>
      <c r="BE915" s="26"/>
      <c r="BF915" s="26"/>
      <c r="BG915" s="26"/>
      <c r="BH915" s="26"/>
      <c r="BI915" s="26"/>
      <c r="BJ915" s="26"/>
      <c r="BK915" s="26"/>
      <c r="BL915" s="26"/>
    </row>
    <row r="916" spans="1:64"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row>
    <row r="917" spans="1:64"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c r="AK917" s="26"/>
      <c r="AL917" s="26"/>
      <c r="AM917" s="26"/>
      <c r="AN917" s="26"/>
      <c r="AO917" s="26"/>
      <c r="AP917" s="26"/>
      <c r="AQ917" s="26"/>
      <c r="AR917" s="26"/>
      <c r="AS917" s="26"/>
      <c r="AT917" s="26"/>
      <c r="AU917" s="26"/>
      <c r="AV917" s="26"/>
      <c r="AW917" s="26"/>
      <c r="AX917" s="26"/>
      <c r="AY917" s="26"/>
      <c r="AZ917" s="26"/>
      <c r="BA917" s="26"/>
      <c r="BB917" s="26"/>
      <c r="BC917" s="26"/>
      <c r="BD917" s="26"/>
      <c r="BE917" s="26"/>
      <c r="BF917" s="26"/>
      <c r="BG917" s="26"/>
      <c r="BH917" s="26"/>
      <c r="BI917" s="26"/>
      <c r="BJ917" s="26"/>
      <c r="BK917" s="26"/>
      <c r="BL917" s="26"/>
    </row>
    <row r="918" spans="1:64"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row>
    <row r="919" spans="1:64"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c r="AK919" s="26"/>
      <c r="AL919" s="26"/>
      <c r="AM919" s="26"/>
      <c r="AN919" s="26"/>
      <c r="AO919" s="26"/>
      <c r="AP919" s="26"/>
      <c r="AQ919" s="26"/>
      <c r="AR919" s="26"/>
      <c r="AS919" s="26"/>
      <c r="AT919" s="26"/>
      <c r="AU919" s="26"/>
      <c r="AV919" s="26"/>
      <c r="AW919" s="26"/>
      <c r="AX919" s="26"/>
      <c r="AY919" s="26"/>
      <c r="AZ919" s="26"/>
      <c r="BA919" s="26"/>
      <c r="BB919" s="26"/>
      <c r="BC919" s="26"/>
      <c r="BD919" s="26"/>
      <c r="BE919" s="26"/>
      <c r="BF919" s="26"/>
      <c r="BG919" s="26"/>
      <c r="BH919" s="26"/>
      <c r="BI919" s="26"/>
      <c r="BJ919" s="26"/>
      <c r="BK919" s="26"/>
      <c r="BL919" s="26"/>
    </row>
    <row r="920" spans="1:64"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row>
    <row r="921" spans="1:64"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c r="AK921" s="26"/>
      <c r="AL921" s="26"/>
      <c r="AM921" s="26"/>
      <c r="AN921" s="26"/>
      <c r="AO921" s="26"/>
      <c r="AP921" s="26"/>
      <c r="AQ921" s="26"/>
      <c r="AR921" s="26"/>
      <c r="AS921" s="26"/>
      <c r="AT921" s="26"/>
      <c r="AU921" s="26"/>
      <c r="AV921" s="26"/>
      <c r="AW921" s="26"/>
      <c r="AX921" s="26"/>
      <c r="AY921" s="26"/>
      <c r="AZ921" s="26"/>
      <c r="BA921" s="26"/>
      <c r="BB921" s="26"/>
      <c r="BC921" s="26"/>
      <c r="BD921" s="26"/>
      <c r="BE921" s="26"/>
      <c r="BF921" s="26"/>
      <c r="BG921" s="26"/>
      <c r="BH921" s="26"/>
      <c r="BI921" s="26"/>
      <c r="BJ921" s="26"/>
      <c r="BK921" s="26"/>
      <c r="BL921" s="26"/>
    </row>
    <row r="922" spans="1:64"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row>
    <row r="923" spans="1:64"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c r="AK923" s="26"/>
      <c r="AL923" s="26"/>
      <c r="AM923" s="26"/>
      <c r="AN923" s="26"/>
      <c r="AO923" s="26"/>
      <c r="AP923" s="26"/>
      <c r="AQ923" s="26"/>
      <c r="AR923" s="26"/>
      <c r="AS923" s="26"/>
      <c r="AT923" s="26"/>
      <c r="AU923" s="26"/>
      <c r="AV923" s="26"/>
      <c r="AW923" s="26"/>
      <c r="AX923" s="26"/>
      <c r="AY923" s="26"/>
      <c r="AZ923" s="26"/>
      <c r="BA923" s="26"/>
      <c r="BB923" s="26"/>
      <c r="BC923" s="26"/>
      <c r="BD923" s="26"/>
      <c r="BE923" s="26"/>
      <c r="BF923" s="26"/>
      <c r="BG923" s="26"/>
      <c r="BH923" s="26"/>
      <c r="BI923" s="26"/>
      <c r="BJ923" s="26"/>
      <c r="BK923" s="26"/>
      <c r="BL923" s="26"/>
    </row>
    <row r="924" spans="1:6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row>
    <row r="925" spans="1:64"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c r="AK925" s="26"/>
      <c r="AL925" s="26"/>
      <c r="AM925" s="26"/>
      <c r="AN925" s="26"/>
      <c r="AO925" s="26"/>
      <c r="AP925" s="26"/>
      <c r="AQ925" s="26"/>
      <c r="AR925" s="26"/>
      <c r="AS925" s="26"/>
      <c r="AT925" s="26"/>
      <c r="AU925" s="26"/>
      <c r="AV925" s="26"/>
      <c r="AW925" s="26"/>
      <c r="AX925" s="26"/>
      <c r="AY925" s="26"/>
      <c r="AZ925" s="26"/>
      <c r="BA925" s="26"/>
      <c r="BB925" s="26"/>
      <c r="BC925" s="26"/>
      <c r="BD925" s="26"/>
      <c r="BE925" s="26"/>
      <c r="BF925" s="26"/>
      <c r="BG925" s="26"/>
      <c r="BH925" s="26"/>
      <c r="BI925" s="26"/>
      <c r="BJ925" s="26"/>
      <c r="BK925" s="26"/>
      <c r="BL925" s="26"/>
    </row>
    <row r="926" spans="1:64"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row>
    <row r="927" spans="1:64"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c r="AK927" s="26"/>
      <c r="AL927" s="26"/>
      <c r="AM927" s="26"/>
      <c r="AN927" s="26"/>
      <c r="AO927" s="26"/>
      <c r="AP927" s="26"/>
      <c r="AQ927" s="26"/>
      <c r="AR927" s="26"/>
      <c r="AS927" s="26"/>
      <c r="AT927" s="26"/>
      <c r="AU927" s="26"/>
      <c r="AV927" s="26"/>
      <c r="AW927" s="26"/>
      <c r="AX927" s="26"/>
      <c r="AY927" s="26"/>
      <c r="AZ927" s="26"/>
      <c r="BA927" s="26"/>
      <c r="BB927" s="26"/>
      <c r="BC927" s="26"/>
      <c r="BD927" s="26"/>
      <c r="BE927" s="26"/>
      <c r="BF927" s="26"/>
      <c r="BG927" s="26"/>
      <c r="BH927" s="26"/>
      <c r="BI927" s="26"/>
      <c r="BJ927" s="26"/>
      <c r="BK927" s="26"/>
      <c r="BL927" s="26"/>
    </row>
    <row r="928" spans="1:64"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row>
    <row r="929" spans="1:64"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c r="AK929" s="26"/>
      <c r="AL929" s="26"/>
      <c r="AM929" s="26"/>
      <c r="AN929" s="26"/>
      <c r="AO929" s="26"/>
      <c r="AP929" s="26"/>
      <c r="AQ929" s="26"/>
      <c r="AR929" s="26"/>
      <c r="AS929" s="26"/>
      <c r="AT929" s="26"/>
      <c r="AU929" s="26"/>
      <c r="AV929" s="26"/>
      <c r="AW929" s="26"/>
      <c r="AX929" s="26"/>
      <c r="AY929" s="26"/>
      <c r="AZ929" s="26"/>
      <c r="BA929" s="26"/>
      <c r="BB929" s="26"/>
      <c r="BC929" s="26"/>
      <c r="BD929" s="26"/>
      <c r="BE929" s="26"/>
      <c r="BF929" s="26"/>
      <c r="BG929" s="26"/>
      <c r="BH929" s="26"/>
      <c r="BI929" s="26"/>
      <c r="BJ929" s="26"/>
      <c r="BK929" s="26"/>
      <c r="BL929" s="26"/>
    </row>
    <row r="930" spans="1:64"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row>
    <row r="931" spans="1:64"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c r="AK931" s="26"/>
      <c r="AL931" s="26"/>
      <c r="AM931" s="26"/>
      <c r="AN931" s="26"/>
      <c r="AO931" s="26"/>
      <c r="AP931" s="26"/>
      <c r="AQ931" s="26"/>
      <c r="AR931" s="26"/>
      <c r="AS931" s="26"/>
      <c r="AT931" s="26"/>
      <c r="AU931" s="26"/>
      <c r="AV931" s="26"/>
      <c r="AW931" s="26"/>
      <c r="AX931" s="26"/>
      <c r="AY931" s="26"/>
      <c r="AZ931" s="26"/>
      <c r="BA931" s="26"/>
      <c r="BB931" s="26"/>
      <c r="BC931" s="26"/>
      <c r="BD931" s="26"/>
      <c r="BE931" s="26"/>
      <c r="BF931" s="26"/>
      <c r="BG931" s="26"/>
      <c r="BH931" s="26"/>
      <c r="BI931" s="26"/>
      <c r="BJ931" s="26"/>
      <c r="BK931" s="26"/>
      <c r="BL931" s="26"/>
    </row>
    <row r="932" spans="1:64"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row>
    <row r="933" spans="1:64"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c r="AK933" s="26"/>
      <c r="AL933" s="26"/>
      <c r="AM933" s="26"/>
      <c r="AN933" s="26"/>
      <c r="AO933" s="26"/>
      <c r="AP933" s="26"/>
      <c r="AQ933" s="26"/>
      <c r="AR933" s="26"/>
      <c r="AS933" s="26"/>
      <c r="AT933" s="26"/>
      <c r="AU933" s="26"/>
      <c r="AV933" s="26"/>
      <c r="AW933" s="26"/>
      <c r="AX933" s="26"/>
      <c r="AY933" s="26"/>
      <c r="AZ933" s="26"/>
      <c r="BA933" s="26"/>
      <c r="BB933" s="26"/>
      <c r="BC933" s="26"/>
      <c r="BD933" s="26"/>
      <c r="BE933" s="26"/>
      <c r="BF933" s="26"/>
      <c r="BG933" s="26"/>
      <c r="BH933" s="26"/>
      <c r="BI933" s="26"/>
      <c r="BJ933" s="26"/>
      <c r="BK933" s="26"/>
      <c r="BL933" s="26"/>
    </row>
    <row r="934" spans="1:6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row>
    <row r="935" spans="1:64"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c r="AK935" s="26"/>
      <c r="AL935" s="26"/>
      <c r="AM935" s="26"/>
      <c r="AN935" s="26"/>
      <c r="AO935" s="26"/>
      <c r="AP935" s="26"/>
      <c r="AQ935" s="26"/>
      <c r="AR935" s="26"/>
      <c r="AS935" s="26"/>
      <c r="AT935" s="26"/>
      <c r="AU935" s="26"/>
      <c r="AV935" s="26"/>
      <c r="AW935" s="26"/>
      <c r="AX935" s="26"/>
      <c r="AY935" s="26"/>
      <c r="AZ935" s="26"/>
      <c r="BA935" s="26"/>
      <c r="BB935" s="26"/>
      <c r="BC935" s="26"/>
      <c r="BD935" s="26"/>
      <c r="BE935" s="26"/>
      <c r="BF935" s="26"/>
      <c r="BG935" s="26"/>
      <c r="BH935" s="26"/>
      <c r="BI935" s="26"/>
      <c r="BJ935" s="26"/>
      <c r="BK935" s="26"/>
      <c r="BL935" s="26"/>
    </row>
    <row r="936" spans="1:64"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row>
    <row r="937" spans="1:64"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c r="AK937" s="26"/>
      <c r="AL937" s="26"/>
      <c r="AM937" s="26"/>
      <c r="AN937" s="26"/>
      <c r="AO937" s="26"/>
      <c r="AP937" s="26"/>
      <c r="AQ937" s="26"/>
      <c r="AR937" s="26"/>
      <c r="AS937" s="26"/>
      <c r="AT937" s="26"/>
      <c r="AU937" s="26"/>
      <c r="AV937" s="26"/>
      <c r="AW937" s="26"/>
      <c r="AX937" s="26"/>
      <c r="AY937" s="26"/>
      <c r="AZ937" s="26"/>
      <c r="BA937" s="26"/>
      <c r="BB937" s="26"/>
      <c r="BC937" s="26"/>
      <c r="BD937" s="26"/>
      <c r="BE937" s="26"/>
      <c r="BF937" s="26"/>
      <c r="BG937" s="26"/>
      <c r="BH937" s="26"/>
      <c r="BI937" s="26"/>
      <c r="BJ937" s="26"/>
      <c r="BK937" s="26"/>
      <c r="BL937" s="26"/>
    </row>
    <row r="938" spans="1:64"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row>
    <row r="939" spans="1:64"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c r="AK939" s="26"/>
      <c r="AL939" s="26"/>
      <c r="AM939" s="26"/>
      <c r="AN939" s="26"/>
      <c r="AO939" s="26"/>
      <c r="AP939" s="26"/>
      <c r="AQ939" s="26"/>
      <c r="AR939" s="26"/>
      <c r="AS939" s="26"/>
      <c r="AT939" s="26"/>
      <c r="AU939" s="26"/>
      <c r="AV939" s="26"/>
      <c r="AW939" s="26"/>
      <c r="AX939" s="26"/>
      <c r="AY939" s="26"/>
      <c r="AZ939" s="26"/>
      <c r="BA939" s="26"/>
      <c r="BB939" s="26"/>
      <c r="BC939" s="26"/>
      <c r="BD939" s="26"/>
      <c r="BE939" s="26"/>
      <c r="BF939" s="26"/>
      <c r="BG939" s="26"/>
      <c r="BH939" s="26"/>
      <c r="BI939" s="26"/>
      <c r="BJ939" s="26"/>
      <c r="BK939" s="26"/>
      <c r="BL939" s="26"/>
    </row>
    <row r="940" spans="1:64"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row>
    <row r="941" spans="1:64"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c r="AK941" s="26"/>
      <c r="AL941" s="26"/>
      <c r="AM941" s="26"/>
      <c r="AN941" s="26"/>
      <c r="AO941" s="26"/>
      <c r="AP941" s="26"/>
      <c r="AQ941" s="26"/>
      <c r="AR941" s="26"/>
      <c r="AS941" s="26"/>
      <c r="AT941" s="26"/>
      <c r="AU941" s="26"/>
      <c r="AV941" s="26"/>
      <c r="AW941" s="26"/>
      <c r="AX941" s="26"/>
      <c r="AY941" s="26"/>
      <c r="AZ941" s="26"/>
      <c r="BA941" s="26"/>
      <c r="BB941" s="26"/>
      <c r="BC941" s="26"/>
      <c r="BD941" s="26"/>
      <c r="BE941" s="26"/>
      <c r="BF941" s="26"/>
      <c r="BG941" s="26"/>
      <c r="BH941" s="26"/>
      <c r="BI941" s="26"/>
      <c r="BJ941" s="26"/>
      <c r="BK941" s="26"/>
      <c r="BL941" s="26"/>
    </row>
    <row r="942" spans="1:64"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row>
    <row r="943" spans="1:64"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c r="AK943" s="26"/>
      <c r="AL943" s="26"/>
      <c r="AM943" s="26"/>
      <c r="AN943" s="26"/>
      <c r="AO943" s="26"/>
      <c r="AP943" s="26"/>
      <c r="AQ943" s="26"/>
      <c r="AR943" s="26"/>
      <c r="AS943" s="26"/>
      <c r="AT943" s="26"/>
      <c r="AU943" s="26"/>
      <c r="AV943" s="26"/>
      <c r="AW943" s="26"/>
      <c r="AX943" s="26"/>
      <c r="AY943" s="26"/>
      <c r="AZ943" s="26"/>
      <c r="BA943" s="26"/>
      <c r="BB943" s="26"/>
      <c r="BC943" s="26"/>
      <c r="BD943" s="26"/>
      <c r="BE943" s="26"/>
      <c r="BF943" s="26"/>
      <c r="BG943" s="26"/>
      <c r="BH943" s="26"/>
      <c r="BI943" s="26"/>
      <c r="BJ943" s="26"/>
      <c r="BK943" s="26"/>
      <c r="BL943" s="26"/>
    </row>
    <row r="944" spans="1:6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row>
    <row r="945" spans="1:64"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c r="AK945" s="26"/>
      <c r="AL945" s="26"/>
      <c r="AM945" s="26"/>
      <c r="AN945" s="26"/>
      <c r="AO945" s="26"/>
      <c r="AP945" s="26"/>
      <c r="AQ945" s="26"/>
      <c r="AR945" s="26"/>
      <c r="AS945" s="26"/>
      <c r="AT945" s="26"/>
      <c r="AU945" s="26"/>
      <c r="AV945" s="26"/>
      <c r="AW945" s="26"/>
      <c r="AX945" s="26"/>
      <c r="AY945" s="26"/>
      <c r="AZ945" s="26"/>
      <c r="BA945" s="26"/>
      <c r="BB945" s="26"/>
      <c r="BC945" s="26"/>
      <c r="BD945" s="26"/>
      <c r="BE945" s="26"/>
      <c r="BF945" s="26"/>
      <c r="BG945" s="26"/>
      <c r="BH945" s="26"/>
      <c r="BI945" s="26"/>
      <c r="BJ945" s="26"/>
      <c r="BK945" s="26"/>
      <c r="BL945" s="26"/>
    </row>
    <row r="946" spans="1:64"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row>
    <row r="947" spans="1:64"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c r="AK947" s="26"/>
      <c r="AL947" s="26"/>
      <c r="AM947" s="26"/>
      <c r="AN947" s="26"/>
      <c r="AO947" s="26"/>
      <c r="AP947" s="26"/>
      <c r="AQ947" s="26"/>
      <c r="AR947" s="26"/>
      <c r="AS947" s="26"/>
      <c r="AT947" s="26"/>
      <c r="AU947" s="26"/>
      <c r="AV947" s="26"/>
      <c r="AW947" s="26"/>
      <c r="AX947" s="26"/>
      <c r="AY947" s="26"/>
      <c r="AZ947" s="26"/>
      <c r="BA947" s="26"/>
      <c r="BB947" s="26"/>
      <c r="BC947" s="26"/>
      <c r="BD947" s="26"/>
      <c r="BE947" s="26"/>
      <c r="BF947" s="26"/>
      <c r="BG947" s="26"/>
      <c r="BH947" s="26"/>
      <c r="BI947" s="26"/>
      <c r="BJ947" s="26"/>
      <c r="BK947" s="26"/>
      <c r="BL947" s="26"/>
    </row>
    <row r="948" spans="1:64"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row>
    <row r="949" spans="1:64"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c r="AK949" s="26"/>
      <c r="AL949" s="26"/>
      <c r="AM949" s="26"/>
      <c r="AN949" s="26"/>
      <c r="AO949" s="26"/>
      <c r="AP949" s="26"/>
      <c r="AQ949" s="26"/>
      <c r="AR949" s="26"/>
      <c r="AS949" s="26"/>
      <c r="AT949" s="26"/>
      <c r="AU949" s="26"/>
      <c r="AV949" s="26"/>
      <c r="AW949" s="26"/>
      <c r="AX949" s="26"/>
      <c r="AY949" s="26"/>
      <c r="AZ949" s="26"/>
      <c r="BA949" s="26"/>
      <c r="BB949" s="26"/>
      <c r="BC949" s="26"/>
      <c r="BD949" s="26"/>
      <c r="BE949" s="26"/>
      <c r="BF949" s="26"/>
      <c r="BG949" s="26"/>
      <c r="BH949" s="26"/>
      <c r="BI949" s="26"/>
      <c r="BJ949" s="26"/>
      <c r="BK949" s="26"/>
      <c r="BL949" s="26"/>
    </row>
    <row r="950" spans="1:64"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row>
    <row r="951" spans="1:64"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c r="AK951" s="26"/>
      <c r="AL951" s="26"/>
      <c r="AM951" s="26"/>
      <c r="AN951" s="26"/>
      <c r="AO951" s="26"/>
      <c r="AP951" s="26"/>
      <c r="AQ951" s="26"/>
      <c r="AR951" s="26"/>
      <c r="AS951" s="26"/>
      <c r="AT951" s="26"/>
      <c r="AU951" s="26"/>
      <c r="AV951" s="26"/>
      <c r="AW951" s="26"/>
      <c r="AX951" s="26"/>
      <c r="AY951" s="26"/>
      <c r="AZ951" s="26"/>
      <c r="BA951" s="26"/>
      <c r="BB951" s="26"/>
      <c r="BC951" s="26"/>
      <c r="BD951" s="26"/>
      <c r="BE951" s="26"/>
      <c r="BF951" s="26"/>
      <c r="BG951" s="26"/>
      <c r="BH951" s="26"/>
      <c r="BI951" s="26"/>
      <c r="BJ951" s="26"/>
      <c r="BK951" s="26"/>
      <c r="BL951" s="26"/>
    </row>
    <row r="952" spans="1:64"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row>
    <row r="953" spans="1:64"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c r="AK953" s="26"/>
      <c r="AL953" s="26"/>
      <c r="AM953" s="26"/>
      <c r="AN953" s="26"/>
      <c r="AO953" s="26"/>
      <c r="AP953" s="26"/>
      <c r="AQ953" s="26"/>
      <c r="AR953" s="26"/>
      <c r="AS953" s="26"/>
      <c r="AT953" s="26"/>
      <c r="AU953" s="26"/>
      <c r="AV953" s="26"/>
      <c r="AW953" s="26"/>
      <c r="AX953" s="26"/>
      <c r="AY953" s="26"/>
      <c r="AZ953" s="26"/>
      <c r="BA953" s="26"/>
      <c r="BB953" s="26"/>
      <c r="BC953" s="26"/>
      <c r="BD953" s="26"/>
      <c r="BE953" s="26"/>
      <c r="BF953" s="26"/>
      <c r="BG953" s="26"/>
      <c r="BH953" s="26"/>
      <c r="BI953" s="26"/>
      <c r="BJ953" s="26"/>
      <c r="BK953" s="26"/>
      <c r="BL953" s="26"/>
    </row>
    <row r="954" spans="1:6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row>
    <row r="955" spans="1:64"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c r="AK955" s="26"/>
      <c r="AL955" s="26"/>
      <c r="AM955" s="26"/>
      <c r="AN955" s="26"/>
      <c r="AO955" s="26"/>
      <c r="AP955" s="26"/>
      <c r="AQ955" s="26"/>
      <c r="AR955" s="26"/>
      <c r="AS955" s="26"/>
      <c r="AT955" s="26"/>
      <c r="AU955" s="26"/>
      <c r="AV955" s="26"/>
      <c r="AW955" s="26"/>
      <c r="AX955" s="26"/>
      <c r="AY955" s="26"/>
      <c r="AZ955" s="26"/>
      <c r="BA955" s="26"/>
      <c r="BB955" s="26"/>
      <c r="BC955" s="26"/>
      <c r="BD955" s="26"/>
      <c r="BE955" s="26"/>
      <c r="BF955" s="26"/>
      <c r="BG955" s="26"/>
      <c r="BH955" s="26"/>
      <c r="BI955" s="26"/>
      <c r="BJ955" s="26"/>
      <c r="BK955" s="26"/>
      <c r="BL955" s="26"/>
    </row>
    <row r="956" spans="1:64"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row>
    <row r="957" spans="1:64"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c r="AK957" s="26"/>
      <c r="AL957" s="26"/>
      <c r="AM957" s="26"/>
      <c r="AN957" s="26"/>
      <c r="AO957" s="26"/>
      <c r="AP957" s="26"/>
      <c r="AQ957" s="26"/>
      <c r="AR957" s="26"/>
      <c r="AS957" s="26"/>
      <c r="AT957" s="26"/>
      <c r="AU957" s="26"/>
      <c r="AV957" s="26"/>
      <c r="AW957" s="26"/>
      <c r="AX957" s="26"/>
      <c r="AY957" s="26"/>
      <c r="AZ957" s="26"/>
      <c r="BA957" s="26"/>
      <c r="BB957" s="26"/>
      <c r="BC957" s="26"/>
      <c r="BD957" s="26"/>
      <c r="BE957" s="26"/>
      <c r="BF957" s="26"/>
      <c r="BG957" s="26"/>
      <c r="BH957" s="26"/>
      <c r="BI957" s="26"/>
      <c r="BJ957" s="26"/>
      <c r="BK957" s="26"/>
      <c r="BL957" s="26"/>
    </row>
    <row r="958" spans="1:64"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row>
    <row r="959" spans="1:64"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c r="AK959" s="26"/>
      <c r="AL959" s="26"/>
      <c r="AM959" s="26"/>
      <c r="AN959" s="26"/>
      <c r="AO959" s="26"/>
      <c r="AP959" s="26"/>
      <c r="AQ959" s="26"/>
      <c r="AR959" s="26"/>
      <c r="AS959" s="26"/>
      <c r="AT959" s="26"/>
      <c r="AU959" s="26"/>
      <c r="AV959" s="26"/>
      <c r="AW959" s="26"/>
      <c r="AX959" s="26"/>
      <c r="AY959" s="26"/>
      <c r="AZ959" s="26"/>
      <c r="BA959" s="26"/>
      <c r="BB959" s="26"/>
      <c r="BC959" s="26"/>
      <c r="BD959" s="26"/>
      <c r="BE959" s="26"/>
      <c r="BF959" s="26"/>
      <c r="BG959" s="26"/>
      <c r="BH959" s="26"/>
      <c r="BI959" s="26"/>
      <c r="BJ959" s="26"/>
      <c r="BK959" s="26"/>
      <c r="BL959" s="26"/>
    </row>
    <row r="960" spans="1:64"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row>
    <row r="961" spans="1:64"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c r="AK961" s="26"/>
      <c r="AL961" s="26"/>
      <c r="AM961" s="26"/>
      <c r="AN961" s="26"/>
      <c r="AO961" s="26"/>
      <c r="AP961" s="26"/>
      <c r="AQ961" s="26"/>
      <c r="AR961" s="26"/>
      <c r="AS961" s="26"/>
      <c r="AT961" s="26"/>
      <c r="AU961" s="26"/>
      <c r="AV961" s="26"/>
      <c r="AW961" s="26"/>
      <c r="AX961" s="26"/>
      <c r="AY961" s="26"/>
      <c r="AZ961" s="26"/>
      <c r="BA961" s="26"/>
      <c r="BB961" s="26"/>
      <c r="BC961" s="26"/>
      <c r="BD961" s="26"/>
      <c r="BE961" s="26"/>
      <c r="BF961" s="26"/>
      <c r="BG961" s="26"/>
      <c r="BH961" s="26"/>
      <c r="BI961" s="26"/>
      <c r="BJ961" s="26"/>
      <c r="BK961" s="26"/>
      <c r="BL961" s="26"/>
    </row>
    <row r="962" spans="1:64"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row>
    <row r="963" spans="1:64"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c r="AK963" s="26"/>
      <c r="AL963" s="26"/>
      <c r="AM963" s="26"/>
      <c r="AN963" s="26"/>
      <c r="AO963" s="26"/>
      <c r="AP963" s="26"/>
      <c r="AQ963" s="26"/>
      <c r="AR963" s="26"/>
      <c r="AS963" s="26"/>
      <c r="AT963" s="26"/>
      <c r="AU963" s="26"/>
      <c r="AV963" s="26"/>
      <c r="AW963" s="26"/>
      <c r="AX963" s="26"/>
      <c r="AY963" s="26"/>
      <c r="AZ963" s="26"/>
      <c r="BA963" s="26"/>
      <c r="BB963" s="26"/>
      <c r="BC963" s="26"/>
      <c r="BD963" s="26"/>
      <c r="BE963" s="26"/>
      <c r="BF963" s="26"/>
      <c r="BG963" s="26"/>
      <c r="BH963" s="26"/>
      <c r="BI963" s="26"/>
      <c r="BJ963" s="26"/>
      <c r="BK963" s="26"/>
      <c r="BL963" s="26"/>
    </row>
    <row r="964" spans="1: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row>
    <row r="965" spans="1:64"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c r="AK965" s="26"/>
      <c r="AL965" s="26"/>
      <c r="AM965" s="26"/>
      <c r="AN965" s="26"/>
      <c r="AO965" s="26"/>
      <c r="AP965" s="26"/>
      <c r="AQ965" s="26"/>
      <c r="AR965" s="26"/>
      <c r="AS965" s="26"/>
      <c r="AT965" s="26"/>
      <c r="AU965" s="26"/>
      <c r="AV965" s="26"/>
      <c r="AW965" s="26"/>
      <c r="AX965" s="26"/>
      <c r="AY965" s="26"/>
      <c r="AZ965" s="26"/>
      <c r="BA965" s="26"/>
      <c r="BB965" s="26"/>
      <c r="BC965" s="26"/>
      <c r="BD965" s="26"/>
      <c r="BE965" s="26"/>
      <c r="BF965" s="26"/>
      <c r="BG965" s="26"/>
      <c r="BH965" s="26"/>
      <c r="BI965" s="26"/>
      <c r="BJ965" s="26"/>
      <c r="BK965" s="26"/>
      <c r="BL965" s="26"/>
    </row>
    <row r="966" spans="1:64"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row>
    <row r="967" spans="1:64"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c r="AK967" s="26"/>
      <c r="AL967" s="26"/>
      <c r="AM967" s="26"/>
      <c r="AN967" s="26"/>
      <c r="AO967" s="26"/>
      <c r="AP967" s="26"/>
      <c r="AQ967" s="26"/>
      <c r="AR967" s="26"/>
      <c r="AS967" s="26"/>
      <c r="AT967" s="26"/>
      <c r="AU967" s="26"/>
      <c r="AV967" s="26"/>
      <c r="AW967" s="26"/>
      <c r="AX967" s="26"/>
      <c r="AY967" s="26"/>
      <c r="AZ967" s="26"/>
      <c r="BA967" s="26"/>
      <c r="BB967" s="26"/>
      <c r="BC967" s="26"/>
      <c r="BD967" s="26"/>
      <c r="BE967" s="26"/>
      <c r="BF967" s="26"/>
      <c r="BG967" s="26"/>
      <c r="BH967" s="26"/>
      <c r="BI967" s="26"/>
      <c r="BJ967" s="26"/>
      <c r="BK967" s="26"/>
      <c r="BL967" s="26"/>
    </row>
    <row r="968" spans="1:64"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row>
    <row r="969" spans="1:64"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c r="AK969" s="26"/>
      <c r="AL969" s="26"/>
      <c r="AM969" s="26"/>
      <c r="AN969" s="26"/>
      <c r="AO969" s="26"/>
      <c r="AP969" s="26"/>
      <c r="AQ969" s="26"/>
      <c r="AR969" s="26"/>
      <c r="AS969" s="26"/>
      <c r="AT969" s="26"/>
      <c r="AU969" s="26"/>
      <c r="AV969" s="26"/>
      <c r="AW969" s="26"/>
      <c r="AX969" s="26"/>
      <c r="AY969" s="26"/>
      <c r="AZ969" s="26"/>
      <c r="BA969" s="26"/>
      <c r="BB969" s="26"/>
      <c r="BC969" s="26"/>
      <c r="BD969" s="26"/>
      <c r="BE969" s="26"/>
      <c r="BF969" s="26"/>
      <c r="BG969" s="26"/>
      <c r="BH969" s="26"/>
      <c r="BI969" s="26"/>
      <c r="BJ969" s="26"/>
      <c r="BK969" s="26"/>
      <c r="BL969" s="26"/>
    </row>
    <row r="970" spans="1:64"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row>
    <row r="971" spans="1:64"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c r="AK971" s="26"/>
      <c r="AL971" s="26"/>
      <c r="AM971" s="26"/>
      <c r="AN971" s="26"/>
      <c r="AO971" s="26"/>
      <c r="AP971" s="26"/>
      <c r="AQ971" s="26"/>
      <c r="AR971" s="26"/>
      <c r="AS971" s="26"/>
      <c r="AT971" s="26"/>
      <c r="AU971" s="26"/>
      <c r="AV971" s="26"/>
      <c r="AW971" s="26"/>
      <c r="AX971" s="26"/>
      <c r="AY971" s="26"/>
      <c r="AZ971" s="26"/>
      <c r="BA971" s="26"/>
      <c r="BB971" s="26"/>
      <c r="BC971" s="26"/>
      <c r="BD971" s="26"/>
      <c r="BE971" s="26"/>
      <c r="BF971" s="26"/>
      <c r="BG971" s="26"/>
      <c r="BH971" s="26"/>
      <c r="BI971" s="26"/>
      <c r="BJ971" s="26"/>
      <c r="BK971" s="26"/>
      <c r="BL971" s="26"/>
    </row>
    <row r="972" spans="1:64"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row>
    <row r="973" spans="1:64"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c r="AK973" s="26"/>
      <c r="AL973" s="26"/>
      <c r="AM973" s="26"/>
      <c r="AN973" s="26"/>
      <c r="AO973" s="26"/>
      <c r="AP973" s="26"/>
      <c r="AQ973" s="26"/>
      <c r="AR973" s="26"/>
      <c r="AS973" s="26"/>
      <c r="AT973" s="26"/>
      <c r="AU973" s="26"/>
      <c r="AV973" s="26"/>
      <c r="AW973" s="26"/>
      <c r="AX973" s="26"/>
      <c r="AY973" s="26"/>
      <c r="AZ973" s="26"/>
      <c r="BA973" s="26"/>
      <c r="BB973" s="26"/>
      <c r="BC973" s="26"/>
      <c r="BD973" s="26"/>
      <c r="BE973" s="26"/>
      <c r="BF973" s="26"/>
      <c r="BG973" s="26"/>
      <c r="BH973" s="26"/>
      <c r="BI973" s="26"/>
      <c r="BJ973" s="26"/>
      <c r="BK973" s="26"/>
      <c r="BL973" s="26"/>
    </row>
    <row r="974" spans="1:6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row>
    <row r="975" spans="1:64"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c r="AK975" s="26"/>
      <c r="AL975" s="26"/>
      <c r="AM975" s="26"/>
      <c r="AN975" s="26"/>
      <c r="AO975" s="26"/>
      <c r="AP975" s="26"/>
      <c r="AQ975" s="26"/>
      <c r="AR975" s="26"/>
      <c r="AS975" s="26"/>
      <c r="AT975" s="26"/>
      <c r="AU975" s="26"/>
      <c r="AV975" s="26"/>
      <c r="AW975" s="26"/>
      <c r="AX975" s="26"/>
      <c r="AY975" s="26"/>
      <c r="AZ975" s="26"/>
      <c r="BA975" s="26"/>
      <c r="BB975" s="26"/>
      <c r="BC975" s="26"/>
      <c r="BD975" s="26"/>
      <c r="BE975" s="26"/>
      <c r="BF975" s="26"/>
      <c r="BG975" s="26"/>
      <c r="BH975" s="26"/>
      <c r="BI975" s="26"/>
      <c r="BJ975" s="26"/>
      <c r="BK975" s="26"/>
      <c r="BL975" s="26"/>
    </row>
    <row r="976" spans="1:64"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row>
    <row r="977" spans="1:64"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c r="AK977" s="26"/>
      <c r="AL977" s="26"/>
      <c r="AM977" s="26"/>
      <c r="AN977" s="26"/>
      <c r="AO977" s="26"/>
      <c r="AP977" s="26"/>
      <c r="AQ977" s="26"/>
      <c r="AR977" s="26"/>
      <c r="AS977" s="26"/>
      <c r="AT977" s="26"/>
      <c r="AU977" s="26"/>
      <c r="AV977" s="26"/>
      <c r="AW977" s="26"/>
      <c r="AX977" s="26"/>
      <c r="AY977" s="26"/>
      <c r="AZ977" s="26"/>
      <c r="BA977" s="26"/>
      <c r="BB977" s="26"/>
      <c r="BC977" s="26"/>
      <c r="BD977" s="26"/>
      <c r="BE977" s="26"/>
      <c r="BF977" s="26"/>
      <c r="BG977" s="26"/>
      <c r="BH977" s="26"/>
      <c r="BI977" s="26"/>
      <c r="BJ977" s="26"/>
      <c r="BK977" s="26"/>
      <c r="BL977" s="26"/>
    </row>
    <row r="978" spans="1:64"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row>
    <row r="979" spans="1:64"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c r="AK979" s="26"/>
      <c r="AL979" s="26"/>
      <c r="AM979" s="26"/>
      <c r="AN979" s="26"/>
      <c r="AO979" s="26"/>
      <c r="AP979" s="26"/>
      <c r="AQ979" s="26"/>
      <c r="AR979" s="26"/>
      <c r="AS979" s="26"/>
      <c r="AT979" s="26"/>
      <c r="AU979" s="26"/>
      <c r="AV979" s="26"/>
      <c r="AW979" s="26"/>
      <c r="AX979" s="26"/>
      <c r="AY979" s="26"/>
      <c r="AZ979" s="26"/>
      <c r="BA979" s="26"/>
      <c r="BB979" s="26"/>
      <c r="BC979" s="26"/>
      <c r="BD979" s="26"/>
      <c r="BE979" s="26"/>
      <c r="BF979" s="26"/>
      <c r="BG979" s="26"/>
      <c r="BH979" s="26"/>
      <c r="BI979" s="26"/>
      <c r="BJ979" s="26"/>
      <c r="BK979" s="26"/>
      <c r="BL979" s="26"/>
    </row>
    <row r="980" spans="1:64"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row>
    <row r="981" spans="1:64"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c r="AK981" s="26"/>
      <c r="AL981" s="26"/>
      <c r="AM981" s="26"/>
      <c r="AN981" s="26"/>
      <c r="AO981" s="26"/>
      <c r="AP981" s="26"/>
      <c r="AQ981" s="26"/>
      <c r="AR981" s="26"/>
      <c r="AS981" s="26"/>
      <c r="AT981" s="26"/>
      <c r="AU981" s="26"/>
      <c r="AV981" s="26"/>
      <c r="AW981" s="26"/>
      <c r="AX981" s="26"/>
      <c r="AY981" s="26"/>
      <c r="AZ981" s="26"/>
      <c r="BA981" s="26"/>
      <c r="BB981" s="26"/>
      <c r="BC981" s="26"/>
      <c r="BD981" s="26"/>
      <c r="BE981" s="26"/>
      <c r="BF981" s="26"/>
      <c r="BG981" s="26"/>
      <c r="BH981" s="26"/>
      <c r="BI981" s="26"/>
      <c r="BJ981" s="26"/>
      <c r="BK981" s="26"/>
      <c r="BL981" s="26"/>
    </row>
    <row r="982" spans="1:64"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row>
    <row r="983" spans="1:64"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c r="AK983" s="26"/>
      <c r="AL983" s="26"/>
      <c r="AM983" s="26"/>
      <c r="AN983" s="26"/>
      <c r="AO983" s="26"/>
      <c r="AP983" s="26"/>
      <c r="AQ983" s="26"/>
      <c r="AR983" s="26"/>
      <c r="AS983" s="26"/>
      <c r="AT983" s="26"/>
      <c r="AU983" s="26"/>
      <c r="AV983" s="26"/>
      <c r="AW983" s="26"/>
      <c r="AX983" s="26"/>
      <c r="AY983" s="26"/>
      <c r="AZ983" s="26"/>
      <c r="BA983" s="26"/>
      <c r="BB983" s="26"/>
      <c r="BC983" s="26"/>
      <c r="BD983" s="26"/>
      <c r="BE983" s="26"/>
      <c r="BF983" s="26"/>
      <c r="BG983" s="26"/>
      <c r="BH983" s="26"/>
      <c r="BI983" s="26"/>
      <c r="BJ983" s="26"/>
      <c r="BK983" s="26"/>
      <c r="BL983" s="26"/>
    </row>
    <row r="984" spans="1:6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row>
    <row r="985" spans="1:64"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c r="AK985" s="26"/>
      <c r="AL985" s="26"/>
      <c r="AM985" s="26"/>
      <c r="AN985" s="26"/>
      <c r="AO985" s="26"/>
      <c r="AP985" s="26"/>
      <c r="AQ985" s="26"/>
      <c r="AR985" s="26"/>
      <c r="AS985" s="26"/>
      <c r="AT985" s="26"/>
      <c r="AU985" s="26"/>
      <c r="AV985" s="26"/>
      <c r="AW985" s="26"/>
      <c r="AX985" s="26"/>
      <c r="AY985" s="26"/>
      <c r="AZ985" s="26"/>
      <c r="BA985" s="26"/>
      <c r="BB985" s="26"/>
      <c r="BC985" s="26"/>
      <c r="BD985" s="26"/>
      <c r="BE985" s="26"/>
      <c r="BF985" s="26"/>
      <c r="BG985" s="26"/>
      <c r="BH985" s="26"/>
      <c r="BI985" s="26"/>
      <c r="BJ985" s="26"/>
      <c r="BK985" s="26"/>
      <c r="BL985" s="26"/>
    </row>
    <row r="986" spans="1:64"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row>
  </sheetData>
  <mergeCells count="34">
    <mergeCell ref="B1:B3"/>
    <mergeCell ref="AX1:AX3"/>
    <mergeCell ref="A1:A3"/>
    <mergeCell ref="AP1:AP3"/>
    <mergeCell ref="AQ1:AQ3"/>
    <mergeCell ref="AR1:AR3"/>
    <mergeCell ref="AS1:AS3"/>
    <mergeCell ref="AT1:AT3"/>
    <mergeCell ref="AU1:AU3"/>
    <mergeCell ref="Z1:AA2"/>
    <mergeCell ref="AB1:AC2"/>
    <mergeCell ref="AW1:AW3"/>
    <mergeCell ref="AD1:AG2"/>
    <mergeCell ref="AH1:AK2"/>
    <mergeCell ref="C1:C3"/>
    <mergeCell ref="H1:H3"/>
    <mergeCell ref="D1:E2"/>
    <mergeCell ref="F1:G2"/>
    <mergeCell ref="Q2:T2"/>
    <mergeCell ref="U1:X2"/>
    <mergeCell ref="AL1:AM2"/>
    <mergeCell ref="I1:I3"/>
    <mergeCell ref="J1:J3"/>
    <mergeCell ref="K1:N1"/>
    <mergeCell ref="K2:K3"/>
    <mergeCell ref="L2:L3"/>
    <mergeCell ref="M2:M3"/>
    <mergeCell ref="N2:N3"/>
    <mergeCell ref="AN1:AO2"/>
    <mergeCell ref="AV1:AV3"/>
    <mergeCell ref="O1:T1"/>
    <mergeCell ref="Y1:Y3"/>
    <mergeCell ref="O2:O3"/>
    <mergeCell ref="P2:P3"/>
  </mergeCells>
  <dataValidations count="2">
    <dataValidation type="list" allowBlank="1" showErrorMessage="1" sqref="J4:J23" xr:uid="{00000000-0002-0000-0000-000000000000}">
      <formula1>"Positive,Negative"</formula1>
    </dataValidation>
    <dataValidation type="list" allowBlank="1" showErrorMessage="1" sqref="AT4:AV23" xr:uid="{00000000-0002-0000-0000-000001000000}">
      <formula1>"Not Start,Inprogress,Failed,Passed,Skip,Block"</formula1>
    </dataValidation>
  </dataValidations>
  <hyperlinks>
    <hyperlink ref="D12" r:id="rId1" xr:uid="{912470CD-2B2A-45FB-8721-E34DCE2F8F21}"/>
    <hyperlink ref="F4" r:id="rId2" xr:uid="{26A43EDE-BA80-42A0-9A74-17174B656757}"/>
    <hyperlink ref="F5" r:id="rId3" xr:uid="{3AE4E4CF-A719-485B-98AA-08C2667C3C61}"/>
    <hyperlink ref="F7" r:id="rId4" xr:uid="{E598F9AC-DD6F-4951-84C7-002FD52D3A77}"/>
    <hyperlink ref="F11" r:id="rId5" xr:uid="{2D0889CD-2FB8-461C-B577-5618BC4CFAEA}"/>
    <hyperlink ref="F12" r:id="rId6" xr:uid="{AE3C9F8F-B79C-4AE3-BAEF-F6243BF87BB2}"/>
    <hyperlink ref="F18" r:id="rId7" xr:uid="{FCBB2F1D-D488-48AC-B0BB-21ED474954EF}"/>
    <hyperlink ref="F6" r:id="rId8" xr:uid="{CDA1F69A-FDBA-47A1-8FD3-F12E0C57CF92}"/>
    <hyperlink ref="F10" r:id="rId9" xr:uid="{94816FBC-597C-45A7-8316-DB09D37AB60B}"/>
    <hyperlink ref="F13" r:id="rId10" xr:uid="{0F114055-7E22-4C30-B5DA-DD6AD2ADAC7E}"/>
    <hyperlink ref="F14" r:id="rId11" xr:uid="{5E644BE6-36A5-4784-BC68-53D082231E76}"/>
    <hyperlink ref="F20" r:id="rId12" xr:uid="{291A6864-9777-41DD-960E-7AD79DD5E1C2}"/>
    <hyperlink ref="F21" r:id="rId13" xr:uid="{C412889D-E8C6-46BD-925B-01CCCB4A6E58}"/>
    <hyperlink ref="F22" r:id="rId14" xr:uid="{AEE78162-F663-45FD-AFED-7BBB66904B29}"/>
    <hyperlink ref="D23" r:id="rId15" xr:uid="{BE099BA4-4FD3-4AC9-9E03-0AC6483274E6}"/>
    <hyperlink ref="D22" r:id="rId16" xr:uid="{6B84B291-02FF-4848-834B-68519444FE9D}"/>
    <hyperlink ref="D4" r:id="rId17" xr:uid="{9C9AC3E3-C595-4272-9F73-D9009C30CC0B}"/>
    <hyperlink ref="D5" r:id="rId18" xr:uid="{476AE521-736E-43F1-83CA-599AEB626191}"/>
    <hyperlink ref="D6" r:id="rId19" xr:uid="{98B69B15-5F50-41E0-B99A-2115CBFF5494}"/>
    <hyperlink ref="D7" r:id="rId20" xr:uid="{D9C7587E-6A98-4B7D-9582-3A04AAD349B5}"/>
    <hyperlink ref="D8" r:id="rId21" xr:uid="{810C116A-316B-41AC-A813-E67CBA49596C}"/>
    <hyperlink ref="D9" r:id="rId22" xr:uid="{E1C1A92E-CDB5-4ECE-BD11-786490C34CE1}"/>
    <hyperlink ref="D13" r:id="rId23" xr:uid="{852A5E18-A1B4-4D42-8681-6370E9DAE8B2}"/>
    <hyperlink ref="D14" r:id="rId24" xr:uid="{B6A68D94-18E6-41C8-8472-77DD4261AF4C}"/>
    <hyperlink ref="D20" r:id="rId25" xr:uid="{1101F21B-5FD5-4068-A9FD-36F3AA070861}"/>
    <hyperlink ref="D21" r:id="rId26" xr:uid="{0C17F1C6-463F-4F56-A005-85F719FB219F}"/>
    <hyperlink ref="F8" r:id="rId27" xr:uid="{55D27BD6-D1DA-436E-8AEF-696110AA07D2}"/>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Props1.xml><?xml version="1.0" encoding="utf-8"?>
<ds:datastoreItem xmlns:ds="http://schemas.openxmlformats.org/officeDocument/2006/customXml" ds:itemID="{873A9486-4219-4A5C-B738-8DE9DCF55250}"/>
</file>

<file path=customXml/itemProps2.xml><?xml version="1.0" encoding="utf-8"?>
<ds:datastoreItem xmlns:ds="http://schemas.openxmlformats.org/officeDocument/2006/customXml" ds:itemID="{9D05CF3F-6498-4A27-B555-470EF34A8DBA}"/>
</file>

<file path=customXml/itemProps3.xml><?xml version="1.0" encoding="utf-8"?>
<ds:datastoreItem xmlns:ds="http://schemas.openxmlformats.org/officeDocument/2006/customXml" ds:itemID="{A9528E64-EB2A-4060-93CE-D585871844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Wannapa Thongkham</dc:creator>
  <cp:keywords/>
  <dc:description/>
  <cp:lastModifiedBy>Janjira Jankong</cp:lastModifiedBy>
  <cp:revision/>
  <dcterms:created xsi:type="dcterms:W3CDTF">2025-08-27T08:08:31Z</dcterms:created>
  <dcterms:modified xsi:type="dcterms:W3CDTF">2026-06-19T07:45:23Z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Order">
    <vt:r8>6554600</vt:r8>
  </property>
  <property fmtid="{D5CDD505-2E9C-101B-9397-08002B2CF9AE}" pid="8" name="xd_Signature">
    <vt:bool>false</vt:bool>
  </property>
  <property fmtid="{D5CDD505-2E9C-101B-9397-08002B2CF9AE}" pid="9" name="xd_ProgID">
    <vt:lpwstr/>
  </property>
  <property fmtid="{D5CDD505-2E9C-101B-9397-08002B2CF9AE}" pid="10" name="Status">
    <vt:lpwstr>In progress</vt:lpwstr>
  </property>
  <property fmtid="{D5CDD505-2E9C-101B-9397-08002B2CF9AE}" pid="11" name="_SourceUrl">
    <vt:lpwstr/>
  </property>
  <property fmtid="{D5CDD505-2E9C-101B-9397-08002B2CF9AE}" pid="12" name="_SharedFileIndex">
    <vt:lpwstr/>
  </property>
  <property fmtid="{D5CDD505-2E9C-101B-9397-08002B2CF9AE}" pid="13" name="TemplateUrl">
    <vt:lpwstr/>
  </property>
</Properties>
</file>