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753" documentId="11_ABBC74750A82B52CC15540C6D5017C5C8DBAC2EC" xr6:coauthVersionLast="47" xr6:coauthVersionMax="47" xr10:uidLastSave="{15B1C35F-F093-47ED-9900-B3C00EB9E713}"/>
  <bookViews>
    <workbookView xWindow="0" yWindow="0" windowWidth="0" windowHeight="0" firstSheet="3" activeTab="3" xr2:uid="{00000000-000D-0000-FFFF-FFFF00000000}"/>
  </bookViews>
  <sheets>
    <sheet name="Privilege" sheetId="2" state="hidden" r:id="rId1"/>
    <sheet name="Dtac status suspend THL-1095" sheetId="3" r:id="rId2"/>
    <sheet name="Scope Backlog 1.1" sheetId="5" r:id="rId3"/>
    <sheet name="Online channel THL-1089"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PGkvJ+qzeLchEOH7dQ+6wsNRxyYjzNZ2VBioDTpAyP8="/>
    </ext>
  </extLst>
</workbook>
</file>

<file path=xl/calcChain.xml><?xml version="1.0" encoding="utf-8"?>
<calcChain xmlns="http://schemas.openxmlformats.org/spreadsheetml/2006/main">
  <c r="AC36" i="4" l="1"/>
  <c r="AB36" i="4"/>
  <c r="AC35" i="4"/>
  <c r="AB35" i="4"/>
  <c r="AC34" i="4"/>
  <c r="AB34" i="4"/>
  <c r="AC33" i="4"/>
  <c r="AB33" i="4"/>
  <c r="AC32" i="4"/>
  <c r="AB32" i="4"/>
  <c r="AC31" i="4"/>
  <c r="AB31" i="4"/>
  <c r="X16" i="3"/>
  <c r="W16" i="3"/>
  <c r="X15" i="3"/>
  <c r="W15" i="3"/>
  <c r="X14" i="3"/>
  <c r="W14" i="3"/>
  <c r="X13" i="3"/>
  <c r="W13" i="3"/>
  <c r="X12" i="3"/>
  <c r="W12" i="3"/>
  <c r="X11" i="3"/>
  <c r="W11" i="3"/>
  <c r="X40" i="2"/>
  <c r="X39" i="2"/>
  <c r="X38" i="2"/>
  <c r="X37" i="2"/>
  <c r="X36" i="2"/>
  <c r="X35" i="2"/>
  <c r="W36" i="2"/>
  <c r="W37" i="2"/>
  <c r="W38" i="2"/>
  <c r="W39" i="2"/>
  <c r="W40" i="2"/>
  <c r="W35" i="2"/>
  <c r="AB39" i="4" l="1"/>
  <c r="AC39" i="4"/>
  <c r="W19" i="3"/>
  <c r="X19" i="3"/>
  <c r="W43" i="2"/>
  <c r="X43" i="2"/>
</calcChain>
</file>

<file path=xl/sharedStrings.xml><?xml version="1.0" encoding="utf-8"?>
<sst xmlns="http://schemas.openxmlformats.org/spreadsheetml/2006/main" count="979" uniqueCount="185">
  <si>
    <t>Epic Link</t>
  </si>
  <si>
    <t>Funtion</t>
  </si>
  <si>
    <t>Test Case No.</t>
  </si>
  <si>
    <t>Test Scenario</t>
  </si>
  <si>
    <t>Test Case Type</t>
  </si>
  <si>
    <t>Flow</t>
  </si>
  <si>
    <t>Customer</t>
  </si>
  <si>
    <t>Select TMH number</t>
  </si>
  <si>
    <t>Has mobile number</t>
  </si>
  <si>
    <t>Privilege</t>
  </si>
  <si>
    <t>Description
 (Design Step)</t>
  </si>
  <si>
    <t>Expected Result</t>
  </si>
  <si>
    <t>Test Case written by</t>
  </si>
  <si>
    <t>Excute by</t>
  </si>
  <si>
    <t>Status iOS</t>
  </si>
  <si>
    <t xml:space="preserve">Status android </t>
  </si>
  <si>
    <t>Actual Result
 (Design Step)</t>
  </si>
  <si>
    <t>Link Relate Story</t>
  </si>
  <si>
    <t>บุคคลทั่วไป</t>
  </si>
  <si>
    <t>พนักงาน CP</t>
  </si>
  <si>
    <t>พนักงาน True</t>
  </si>
  <si>
    <t>เบอร์เดิม</t>
  </si>
  <si>
    <t>เบอร์ใหม่</t>
  </si>
  <si>
    <t>No</t>
  </si>
  <si>
    <t>Yes</t>
  </si>
  <si>
    <t>สิทธิ์พนักงาน CP</t>
  </si>
  <si>
    <t>สิทธิ์พนักงาน True</t>
  </si>
  <si>
    <t>สิทธิ์เบอร์ TRUE / DTAC</t>
  </si>
  <si>
    <t>CP Friend &amp; Family</t>
  </si>
  <si>
    <t>ไม่รับสิทธิ์</t>
  </si>
  <si>
    <t>Dtac</t>
  </si>
  <si>
    <t>Online channel THL-1089</t>
  </si>
  <si>
    <t>ON_PRI_VER_01</t>
  </si>
  <si>
    <t>Verify default screen :
 - บุคคลทั่วไปมี เบอร์ true / dtac
 - Press สิทธิ์เบอร์ TRUE / DTAC</t>
  </si>
  <si>
    <t>Positive</t>
  </si>
  <si>
    <t>Online Channel</t>
  </si>
  <si>
    <t>X</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</si>
  <si>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 check default screen
11. Press สิทธิ์เบอร์ TRUE / DTAC
       - check default screen</t>
  </si>
  <si>
    <t>- The system privilege is correct
https://www.figma.com/design/yjyoAP0EMDXJST790SY49T/ONE006-ONE-APP---TOL?node-id=2687-181334&amp;m
- When press The system display mobile number true/dtac
   -- Sort numbers -- True &gt; Dtac 
   -- Sort numbers by ASC (ascending)
- Check mobile number that display
   -- Status Active
   -- Postpaid Number
   -- Same ThaiID / Passport ID</t>
  </si>
  <si>
    <t>Janjira Jankong</t>
  </si>
  <si>
    <t>Not Start</t>
  </si>
  <si>
    <t>เบอร์ Dtac รอ team Rewards set</t>
  </si>
  <si>
    <t>ON_PRI_VER_02</t>
  </si>
  <si>
    <t xml:space="preserve">Verify default screen :
 - บุคคลทั่วไปไม่มี เบอร์ true / dtac
</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</si>
  <si>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t>
  </si>
  <si>
    <t>- The system privilege is correct
- Not Display 'สิทธิ์เบอร์ TRUE / DTAC' refer figma https://www.figma.com/design/yjyoAP0EMDXJST790SY49T/ONE006-ONE-APP---TOL?node-id=2687-181371&amp;m</t>
  </si>
  <si>
    <t>ON_PRI_VER_03</t>
  </si>
  <si>
    <t>Verify default screen :
 - พนักงาน CP มี เบอร์ true / dtac
 - Press สิทธิ์เบอร์ TRUE / DTAC</t>
  </si>
  <si>
    <t>- The system privilege is correct
https://www.figma.com/design/yjyoAP0EMDXJST790SY49T/ONE006-ONE-APP---TOL?node-id=2687-181402&amp;m
- When press The system display mobile number true/dtac
   -- Sort numbers -- True &gt; Dtac 
   -- Sort numbers by ASC (ascending)
- Check mobile number that display
   -- Status Active
   -- Postpaid Number
   -- Same ThaiID / Passport ID</t>
  </si>
  <si>
    <t>ON_PRI_VER_04</t>
  </si>
  <si>
    <t xml:space="preserve">Verify default screen :
 - พนักงาน CP ไม่มี เบอร์ true / dtac
</t>
  </si>
  <si>
    <t>- The system privilege is correct.
- Not Display 'สิทธิ์เบอร์ TRUE / DTAC' refer figma https://www.figma.com/design/yjyoAP0EMDXJST790SY49T/ONE006-ONE-APP---TOL?node-id=2687-181446&amp;m</t>
  </si>
  <si>
    <t>รอวางผล</t>
  </si>
  <si>
    <t>ON_PRI_VER_05</t>
  </si>
  <si>
    <t>Verify default screen :
 - พนักงาน True มี เบอร์ true / dtac
 - Press สิทธิ์เบอร์ TRUE / DTAC</t>
  </si>
  <si>
    <t>- The system privilege is correct.
https://www.figma.com/design/yjyoAP0EMDXJST790SY49T/ONE006-ONE-APP---TOL?node-id=2687-181480&amp;m
- When press The system display mobile number true/dtac
   -- Sort numbers -- True &gt; Dtac 
   -- Sort numbers by ASC (ascending)
- Check mobile number that display
   -- Status Active
   -- Postpaid Number
   -- Same ThaiID / Passport ID</t>
  </si>
  <si>
    <t>เบอร์ Dtac รอ team Rewards set
ปัจจุบัน ระบบ call เช็คข้อมูล บน prod เลยยังต่อที่ Env test ไม่ได้ (API HR ไป Call PROD)</t>
  </si>
  <si>
    <t>ON_PRI_VER_06</t>
  </si>
  <si>
    <t>Verify default screen :
 - พนักงาน True ไม่มี เบอร์ true / dtac</t>
  </si>
  <si>
    <t>- The system privilege is correct.
- Not Display 'สิทธิ์เบอร์ TRUE / DTAC' refer https://www.figma.com/design/yjyoAP0EMDXJST790SY49T/ONE006-ONE-APP---TOL?node-id=2687-181524&amp;m</t>
  </si>
  <si>
    <t>ปัจจุบัน ระบบ call เช็คข้อมูล บน prod เลยยังต่อที่ Env test ไม่ได้ (API HR ไป Call PROD)
รอวางผล</t>
  </si>
  <si>
    <t>ON_PRI_VER_07</t>
  </si>
  <si>
    <r>
      <t xml:space="preserve">Verify default screen of เลือกเบอร์ TRUE / DTAC เพื่อรับสิทธิพิเศษ :
  - Customer has mobile </t>
    </r>
    <r>
      <rPr>
        <b/>
        <sz val="10"/>
        <color rgb="FFFF0000"/>
        <rFont val="Tahoma"/>
      </rPr>
      <t xml:space="preserve">True - prepaid number </t>
    </r>
  </si>
  <si>
    <t>Negative</t>
  </si>
  <si>
    <t>The system not display mobile True - prepaid number</t>
  </si>
  <si>
    <t>ON_PRI_VER_08</t>
  </si>
  <si>
    <r>
      <t xml:space="preserve">Verify default screen of เลือกเบอร์ TRUE / DTAC เพื่อรับสิทธิพิเศษ :
  - Customer has mobile </t>
    </r>
    <r>
      <rPr>
        <b/>
        <sz val="10"/>
        <color rgb="FF0000FF"/>
        <rFont val="Tahoma"/>
      </rPr>
      <t xml:space="preserve">Dtac - prepaid number </t>
    </r>
  </si>
  <si>
    <t>The system not display mobile Dtac - prepaid number</t>
  </si>
  <si>
    <t>ON_PRI_VER_09</t>
  </si>
  <si>
    <r>
      <t xml:space="preserve">Verify default the screen when
 - User select 'สิทธิ์พนักงาน CP'
 - Privilage is </t>
    </r>
    <r>
      <rPr>
        <b/>
        <sz val="10"/>
        <color theme="1"/>
        <rFont val="Tahoma"/>
      </rPr>
      <t>avalavle</t>
    </r>
  </si>
  <si>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 Press 'สิทธิ์พนักงาน CP'</t>
  </si>
  <si>
    <t>User can select privilege สิทธิ์พนักงาน CP and navigate to packages list screen.
Refer figma : https://www.figma.com/design/yjyoAP0EMDXJST790SY49T/ONE006-ONE-APP---TOL?node-id=2687-181771&amp;m</t>
  </si>
  <si>
    <t>ON_PRI_VER_10</t>
  </si>
  <si>
    <r>
      <t xml:space="preserve">Verify default the screen when
 - User select 'สิทธิ์พนักงาน CP'
 - Privilage is </t>
    </r>
    <r>
      <rPr>
        <b/>
        <sz val="10"/>
        <color theme="1"/>
        <rFont val="Tahoma"/>
      </rPr>
      <t>not avalable</t>
    </r>
  </si>
  <si>
    <t>The system display pop-up message 'ขออภัยค่ะ ไม่สามารถรับสิทธิ์ได้เนื่องจากใช้สิทธิ์ครบ จำนวนที่กำหนดแล้วค่ะ', if สิทธิ์พนักงาน CP not avalable</t>
  </si>
  <si>
    <t>ระบบจะให้ไปหน้าถัดไปเลยโดยไม่เช็ค สิทธิ์</t>
  </si>
  <si>
    <t>ON_PRI_VER_11</t>
  </si>
  <si>
    <r>
      <t xml:space="preserve">Verify plivilege of customer in case : 
 - Customer exiting TMH and customer have mobile number of </t>
    </r>
    <r>
      <rPr>
        <sz val="10"/>
        <color rgb="FFFF0000"/>
        <rFont val="Tahoma"/>
      </rPr>
      <t>true</t>
    </r>
    <r>
      <rPr>
        <sz val="10"/>
        <color theme="1"/>
        <rFont val="Tahoma"/>
      </rPr>
      <t xml:space="preserve">
 - Press สิทธิ์เบอร์ TRUE / DTAC
 - User select mobile number for use benefits
 - System check mobile is </t>
    </r>
    <r>
      <rPr>
        <b/>
        <sz val="10"/>
        <color rgb="FFFF0000"/>
        <rFont val="Tahoma"/>
      </rPr>
      <t>avalable</t>
    </r>
    <r>
      <rPr>
        <sz val="10"/>
        <color theme="1"/>
        <rFont val="Tahoma"/>
      </rPr>
      <t xml:space="preserve">
</t>
    </r>
  </si>
  <si>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pass
11. Press สิทธิ์เบอร์ TRUE / DTAC
       - Press mobile number of true</t>
  </si>
  <si>
    <t>User can select privilege if mobile number is avalable 
Navigate to package list screen</t>
  </si>
  <si>
    <t>https://trueomx.atlassian.net/browse/THL-635</t>
  </si>
  <si>
    <t>ON_PRI_VER_12</t>
  </si>
  <si>
    <r>
      <t xml:space="preserve">Verify plivilege of customer in case : 
 - Customer exiting TMH and customer have mobile number of </t>
    </r>
    <r>
      <rPr>
        <sz val="10"/>
        <color rgb="FFFF0000"/>
        <rFont val="Tahoma"/>
      </rPr>
      <t xml:space="preserve">true
</t>
    </r>
    <r>
      <rPr>
        <sz val="10"/>
        <color theme="1"/>
        <rFont val="Tahoma"/>
      </rPr>
      <t xml:space="preserve"> - Press สิทธิ์เบอร์ TRUE / DTAC
 - User select mobile number for use benefits
 - System check mobile is</t>
    </r>
    <r>
      <rPr>
        <b/>
        <sz val="10"/>
        <color rgb="FF0000FF"/>
        <rFont val="Tahoma"/>
      </rPr>
      <t xml:space="preserve"> </t>
    </r>
    <r>
      <rPr>
        <b/>
        <sz val="10"/>
        <color rgb="FFFF0000"/>
        <rFont val="Tahoma"/>
      </rPr>
      <t>duplicate privilege</t>
    </r>
    <r>
      <rPr>
        <sz val="10"/>
        <color rgb="FFFF0000"/>
        <rFont val="Tahoma"/>
      </rPr>
      <t xml:space="preserve">
</t>
    </r>
  </si>
  <si>
    <t>The system will display alert message refer figma https://www.figma.com/design/yjyoAP0EMDXJST790SY49T/ONE006-ONE-APP---TOL?node-id=2687-181669&amp;m</t>
  </si>
  <si>
    <t>วางผลทีหลัง</t>
  </si>
  <si>
    <t>ON_PRI_VER_13</t>
  </si>
  <si>
    <r>
      <t xml:space="preserve">Verify plivilege of customer in case : 
 - Customer exiting TMH and customer have mobile number of </t>
    </r>
    <r>
      <rPr>
        <sz val="10"/>
        <color rgb="FFFF0000"/>
        <rFont val="Tahoma"/>
      </rPr>
      <t>true</t>
    </r>
    <r>
      <rPr>
        <sz val="10"/>
        <color theme="1"/>
        <rFont val="Tahoma"/>
      </rPr>
      <t xml:space="preserve">
 - Press สิทธิ์เบอร์ TRUE / DTAC
 - User select mobile number for use benefits
 - System check mobile is </t>
    </r>
    <r>
      <rPr>
        <sz val="10"/>
        <color rgb="FFFF0000"/>
        <rFont val="Tahoma"/>
      </rPr>
      <t>duplicate privilege</t>
    </r>
    <r>
      <rPr>
        <sz val="10"/>
        <color theme="1"/>
        <rFont val="Tahoma"/>
      </rPr>
      <t xml:space="preserve">
   --</t>
    </r>
    <r>
      <rPr>
        <sz val="10"/>
        <color rgb="FFFF0000"/>
        <rFont val="Tahoma"/>
      </rPr>
      <t xml:space="preserve"> </t>
    </r>
    <r>
      <rPr>
        <b/>
        <sz val="10"/>
        <color rgb="FFFF0000"/>
        <rFont val="Tahoma"/>
      </rPr>
      <t>Press 'ไม่ต้องการ'</t>
    </r>
  </si>
  <si>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pass
11. Press สิทธิ์เบอร์ TRUE / DTAC
       - Press mobile number of true
       - System check mobile is duplicate privilege
           -- Press 'ไม่ต้องการ'</t>
  </si>
  <si>
    <t>The system still on 'เลือกเบอร์ TRUE / DTAC เพื่อรับสิทธิพิเศษ' screen</t>
  </si>
  <si>
    <t>ON_PRI_VER_14</t>
  </si>
  <si>
    <r>
      <t xml:space="preserve">Verify plivilege of customer in case : 
 - Customer exiting TMH and customer have mobile number of </t>
    </r>
    <r>
      <rPr>
        <sz val="10"/>
        <color rgb="FFFF0000"/>
        <rFont val="Tahoma"/>
      </rPr>
      <t>true</t>
    </r>
    <r>
      <rPr>
        <sz val="10"/>
        <color theme="1"/>
        <rFont val="Tahoma"/>
      </rPr>
      <t xml:space="preserve">
 - Press สิทธิ์เบอร์ TRUE / DTAC
 - User select mobile number for use benefits
 - System check mobile is </t>
    </r>
    <r>
      <rPr>
        <sz val="10"/>
        <color rgb="FFFF0000"/>
        <rFont val="Tahoma"/>
      </rPr>
      <t xml:space="preserve">duplicate privilege </t>
    </r>
    <r>
      <rPr>
        <sz val="10"/>
        <color theme="1"/>
        <rFont val="Tahoma"/>
      </rPr>
      <t xml:space="preserve">
</t>
    </r>
    <r>
      <rPr>
        <b/>
        <sz val="10"/>
        <color rgb="FFFF0000"/>
        <rFont val="Tahoma"/>
      </rPr>
      <t xml:space="preserve">  -- Press 'ต้องการ'</t>
    </r>
  </si>
  <si>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pass
11. Press สิทธิ์เบอร์ TRUE / DTAC
       - Press mobile number of true
       - System check mobile is duplicate privilege
           -- Press 'ต้องการ'</t>
  </si>
  <si>
    <t>The system will navigate to package screen refer : https://www.figma.com/design/yjyoAP0EMDXJST790SY49T/ONE006-ONE-APP---TOL?node-id=8288-219036&amp;m</t>
  </si>
  <si>
    <t>ON_PRI_VER_15</t>
  </si>
  <si>
    <r>
      <t xml:space="preserve">Verify plivilege of customer in case : 
 - Customer exiting TMH and customer have mobile number of </t>
    </r>
    <r>
      <rPr>
        <sz val="10"/>
        <color rgb="FF0000FF"/>
        <rFont val="Tahoma"/>
      </rPr>
      <t>Dtac</t>
    </r>
    <r>
      <rPr>
        <sz val="10"/>
        <color theme="1"/>
        <rFont val="Tahoma"/>
      </rPr>
      <t xml:space="preserve">
 - User select mobile number for use benefits
 - System check mobile is</t>
    </r>
    <r>
      <rPr>
        <b/>
        <sz val="10"/>
        <color rgb="FF0000FF"/>
        <rFont val="Tahoma"/>
      </rPr>
      <t xml:space="preserve"> avalable</t>
    </r>
    <r>
      <rPr>
        <sz val="10"/>
        <color theme="1"/>
        <rFont val="Tahoma"/>
      </rPr>
      <t xml:space="preserve">
</t>
    </r>
  </si>
  <si>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pass
11. Press สิทธิ์เบอร์ TRUE / DTAC
       - Press mobile number of Dtac</t>
  </si>
  <si>
    <t xml:space="preserve">User can select privilege if mobile number is avalable </t>
  </si>
  <si>
    <t>Android
&gt;&gt; แสดง format เบอร์ผิด แสดงเป็น 66
&gt;&gt; ต้องแสดง 06x-xxx-xxxx</t>
  </si>
  <si>
    <t>ON_PRI_VER_16</t>
  </si>
  <si>
    <r>
      <t xml:space="preserve">Verify plivilege of customer in case : 
 - Customer exiting TMH and customer have mobile number of </t>
    </r>
    <r>
      <rPr>
        <sz val="10"/>
        <color rgb="FF0000FF"/>
        <rFont val="Tahoma"/>
      </rPr>
      <t>Dtac</t>
    </r>
    <r>
      <rPr>
        <sz val="10"/>
        <color theme="1"/>
        <rFont val="Tahoma"/>
      </rPr>
      <t xml:space="preserve">
 - Press สิทธิ์เบอร์ TRUE / DTAC
 - User select mobile number for use benefits
 - System check mobile is</t>
    </r>
    <r>
      <rPr>
        <b/>
        <sz val="10"/>
        <color rgb="FF0000FF"/>
        <rFont val="Tahoma"/>
      </rPr>
      <t xml:space="preserve"> duplicate privilege</t>
    </r>
    <r>
      <rPr>
        <sz val="10"/>
        <color theme="1"/>
        <rFont val="Tahoma"/>
      </rPr>
      <t xml:space="preserve">
</t>
    </r>
  </si>
  <si>
    <t>6/11/25
สรุป Logic ครั้งสุดท้าย จะจบที่ใช้ซ้ำได้ตลอด และตัดเรื่องเช็ค API Reward ออกด้วย</t>
  </si>
  <si>
    <t>ON_PRI_VER_17</t>
  </si>
  <si>
    <r>
      <t xml:space="preserve">Verify plivilege of customer in case : 
 - Customer exiting TMH and customer have mobile number of </t>
    </r>
    <r>
      <rPr>
        <sz val="10"/>
        <color rgb="FF0000FF"/>
        <rFont val="Tahoma"/>
      </rPr>
      <t>Dtac</t>
    </r>
    <r>
      <rPr>
        <sz val="10"/>
        <color theme="1"/>
        <rFont val="Tahoma"/>
      </rPr>
      <t xml:space="preserve">
 - Press สิทธิ์เบอร์ TRUE / DTAC
 - User select mobile number for use benefits
 - System check mobile is</t>
    </r>
    <r>
      <rPr>
        <sz val="10"/>
        <color rgb="FF0000FF"/>
        <rFont val="Tahoma"/>
      </rPr>
      <t xml:space="preserve"> duplicate privilege</t>
    </r>
    <r>
      <rPr>
        <sz val="10"/>
        <color theme="1"/>
        <rFont val="Tahoma"/>
      </rPr>
      <t xml:space="preserve">
</t>
    </r>
    <r>
      <rPr>
        <b/>
        <sz val="10"/>
        <color rgb="FF0000FF"/>
        <rFont val="Tahoma"/>
      </rPr>
      <t xml:space="preserve">   -- Press 'ไม่ต้องการ'</t>
    </r>
  </si>
  <si>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pass
11. Press สิทธิ์เบอร์ TRUE / DTAC
       - Press mobile number of Dtac
       - System check mobile is duplicate privilege
           -- Press 'ไม่ต้องการ'</t>
  </si>
  <si>
    <t>ON_PRI_VER_18</t>
  </si>
  <si>
    <r>
      <t xml:space="preserve">Verify plivilege of customer in case : 
 - Customer exiting TMH and customer have mobile number of </t>
    </r>
    <r>
      <rPr>
        <sz val="10"/>
        <color rgb="FF0000FF"/>
        <rFont val="Tahoma"/>
      </rPr>
      <t>Dtac</t>
    </r>
    <r>
      <rPr>
        <sz val="10"/>
        <color theme="1"/>
        <rFont val="Tahoma"/>
      </rPr>
      <t xml:space="preserve">
 - Press สิทธิ์เบอร์ TRUE / DTAC
 - User select mobile number for use benefits
 - System check mobile is</t>
    </r>
    <r>
      <rPr>
        <sz val="10"/>
        <color rgb="FF0000FF"/>
        <rFont val="Tahoma"/>
      </rPr>
      <t xml:space="preserve"> duplicate privilege</t>
    </r>
    <r>
      <rPr>
        <sz val="10"/>
        <color theme="1"/>
        <rFont val="Tahoma"/>
      </rPr>
      <t xml:space="preserve">
</t>
    </r>
    <r>
      <rPr>
        <b/>
        <sz val="10"/>
        <color rgb="FF0000FF"/>
        <rFont val="Tahoma"/>
      </rPr>
      <t xml:space="preserve">  -- Press 'ต้องการ'</t>
    </r>
  </si>
  <si>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pass
11. Press สิทธิ์เบอร์ TRUE / DTAC
       - Press mobile number of Dtac
       - System check mobile is duplicate privilege
           -- Press 'ต้องการ'</t>
  </si>
  <si>
    <t>ON_PRI_VER_19</t>
  </si>
  <si>
    <t>Verify the screen :
  - บุคคลทั่วไปมี เบอร์ true (Customer has TMH Status suspended and Active)
  - Press สิทธิ์เบอร์ TRUE / DTAC</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</si>
  <si>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pass
11. Press สิทธิ์เบอร์ TRUE / DTAC
  - check default screen</t>
  </si>
  <si>
    <t>- The system privilege is correct.
https://www.figma.com/design/yjyoAP0EMDXJST790SY49T/ONE006-ONE-APP---TOL?node-id=2687-181674&amp;m
 - When press The system display mobile number true/dtac
  -- Sort numbers -- True &gt; Dtac 
  -- Sort numbers by ASC (ascending)
 - Check mobile number that display
  -- Status Active
  -- Postpaid Number
  -- Same ThaiID / Passport ID
 - Check mobile number not display TMH Number that status is suspended</t>
  </si>
  <si>
    <t>incase have existing TMH status Active and suspended
 Thai ID : 3824120527384
 Name : ชญานันท์ ทรัพย์สมบัติ
 TMH (suspended) : 0642270250
 TMH (Active): 0642270809</t>
  </si>
  <si>
    <t>Online channel THL-1089
Dtac status suspend THL-1095</t>
  </si>
  <si>
    <t>ON_PRI_VER_20</t>
  </si>
  <si>
    <t>Verify the screen :
  - บุคคลทั่วไปมี เบอร์ Dtac Status suspended (Customer Not has TMH Status Active)
  - Press สิทธิ์เบอร์ TRUE / DTAC</t>
  </si>
  <si>
    <r>
      <t xml:space="preserve">- Check mobile number display Dtac Number that status is suspended and can Navigate to Package list
</t>
    </r>
    <r>
      <rPr>
        <b/>
        <sz val="10"/>
        <color rgb="FF000000"/>
        <rFont val="Tahoma"/>
      </rPr>
      <t xml:space="preserve">    Note from SA one  กับ SMUI เรียกเช็ค service เดียวกันแต่ส่ง param คนละแบบ
        1. One ส่ง Thai ID เพื่อจะได้ทุกๆเบอร์ dtac มาเลย
        2. SMUI ส่ง Thai ID และเบอร์ dtac ที่จะเช็คทีละเบอร์
     แต่สุดท้ายทั้งคู่คือ return มาว่าเบอร์ DTAC นี้เป็น postpaid map Thai ID นี้หรือไม่
แต่จะแยกไม่ได้นะว่า active or suspend
    Note from PO เรื่อง status active มายสรุปตามนี้นะ
         1.TMH - แสดงแค่ active only
         2.Dtac - แยกไม่ออกระหว่าง active &amp; suspend เพราะ service ที่เช็คบอกไม่ได้ (เหมือน smui ปจบ)</t>
    </r>
  </si>
  <si>
    <r>
      <rPr>
        <b/>
        <sz val="10"/>
        <color rgb="FF000000"/>
        <rFont val="Tahoma"/>
      </rPr>
      <t xml:space="preserve"> Dtac status Suspended 
 2724388859435 บัตรประชาชน
 นิชกานต์ เกียรติวิทยา
 Customer : 626188301
 Suspended : 66661367525
Result
</t>
    </r>
    <r>
      <rPr>
        <b/>
        <u/>
        <sz val="10"/>
        <color rgb="FF1155CC"/>
        <rFont val="Tahoma"/>
      </rPr>
      <t>https://truecorp-my.sharepoint.com/personal/summata_cha_truecorp_co_th/_layouts/15/onedrive.aspx?id=%2Fpersonal%2Fsummata%5Fcha%5Ftruecorp%5Fco%5Fth%2FDocuments%2FOne%20app%20%2D%20TOL%202025%2FTest%20data%20and%20Test%20case%20QA%2FUAT%2FTOL%20new%20journey%20%2D%20Phase%201%20release%201%2FTest%20Result%2FResult%5FRegression%20Validate%20Screen&amp;viewid=4f0e0c11%2D7dc4%2D494e%2Db81f%2D5eeba374b354&amp;csf=1&amp;ovuser=6e01df19%2De8f8%2D4fac%2D93f4%2Dc9221cf2a4be%2Cwannapa%2Ethongkham%40outlook%2Ecom&amp;OR=Teams%2DHL&amp;CT=1762939764401&amp;clickparams=eyJBcHBOYW1lIjoiVGVhbXMtRGVza3RvcCIsIkFwcFZlcnNpb24iOiI0OS8yNTEwMTYxNjUxMSIsIkhhc0ZlZGVyYXRlZFVzZXIiOmZhbHNlfQ%3D%3D&amp;CID=2d99d8a1%2D80cc%2D6000%2D23d3%2De181c6c7f809&amp;cidOR=SPO&amp;FolderCTID=0x012000343DA3A6A8D883489805655EBF491CE6</t>
    </r>
  </si>
  <si>
    <t>ON_PRI_VER_21</t>
  </si>
  <si>
    <t>Offline Channel(Regression)</t>
  </si>
  <si>
    <t>1. Login One App
2. Press "ลงทะเบียนทรูออนไลน์" menu in the "บริการอื่นๆ" Category
3. Open GIS Web View and open oder on GIS Web View success
4. Select type :
  - Press : อินเทอร์เน็ต
  - Press : เบอร์มือถือ
  - Press : ทรูไอดีทีวี
  - Press : เบอร์บ้าน
5. Pass Customer ID Verification
6. Pass TOL Validation (NEW TOL)
7. Navigate to เลือกเบอร์ทรูมูฟ เอช 
เพื่อเข้าร่วมคอนเวอร์เจนซ์ screen
    - Customer select New TMH
8. User Pass Customer validate and Liveness (For new mobile)
9. Pass Privilege screen
10. Press สิทธิ์เบอร์ TRUE / DTAC
  - check default screen</t>
  </si>
  <si>
    <t>ON_PRI_VER_22</t>
  </si>
  <si>
    <t xml:space="preserve">Verify default the screen when
 - User select 'CP Friend &amp; Family' </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</si>
  <si>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11. User select CP Friend &amp; Family</t>
  </si>
  <si>
    <t>The system will display the screen refer figma : https://www.figma.com/design/yjyoAP0EMDXJST790SY49T/ONE006-ONE-APP---TOL?node-id=2687-181559&amp;m</t>
  </si>
  <si>
    <t>ON_PRI_VER_23</t>
  </si>
  <si>
    <t>Verify user fill โค้ดรับสิทธิ์ (CP Friend &amp; Family) in case :
 - Customer has mobile number true and dtac
 - Fill code CP Friend &amp; Family is correct</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</si>
  <si>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pass
11. User select CP Friend &amp; Family and fill code is correct</t>
  </si>
  <si>
    <t>If user fill code is correct, the system will display benefit and user can use benefits.
Can not fill special character.</t>
  </si>
  <si>
    <t>https://trueomx.atlassian.net/browse/THL-641
https://trueomx.atlassian.net/browse/THL-643</t>
  </si>
  <si>
    <t>ON_PRI_VER_24</t>
  </si>
  <si>
    <t>Verify user fill โค้ดรับสิทธิ์ (CP Friend &amp; Family) in case :
 - Customer hot have mobile number true/dtac
 - Not fill code CP Friend &amp; Family.
 - Fill code CP Friend &amp; Family is not correct</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</si>
  <si>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11. User select CP Friend &amp; Family and fill code incorrect</t>
  </si>
  <si>
    <t>- The system will display error message refer figma : 
- Not fill code CP Friend &amp; Family. Refer https://www.figma.com/design/yjyoAP0EMDXJST790SY49T/ONE006-ONE-APP---TOL?node-id=2687-181768&amp;m
- Fill code CP Friend &amp; Family is not correct. Refer https://www.figma.com/design/yjyoAP0EMDXJST790SY49T/ONE006-ONE-APP---TOL?node-id=2687-181618&amp;m</t>
  </si>
  <si>
    <t>https://trueomx.atlassian.net/browse/THL-643</t>
  </si>
  <si>
    <t>ON_PRI_VER_25</t>
  </si>
  <si>
    <t>Verify plivilege screen :
 - User select ไม่รับสิทธ์</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</si>
  <si>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Check on privilege screen
11. User select ไม่รับสิทธิ์</t>
  </si>
  <si>
    <t>ON_PRI_VER_26</t>
  </si>
  <si>
    <t>Verify click (&lt;) on privilege screen 
 - Press 'ไม่ต้องการ'
 - click (&lt;) on privilege screen again
 - Press 'ต้องการ'</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</si>
  <si>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Click back (&lt;) on privilege screen</t>
  </si>
  <si>
    <t>- The system pop-up message : 'คุณต้องการยกเลิกการลงทะเบียนหรือไม่ หากกดยกเลิก ระบบจะกลับไปยืนยันตัวตนใหม่' with button 'ต้องการ' and 'ไม่ต้องการ'
- If press 'ต้องการ' the system will navigate to Customer Self-Verification QR / Ref Code : STAFF SCREEN Refer https://www.figma.com/design/yjyoAP0EMDXJST790SY49T/ONE006-ONE-APP---TOL?node-id=2687-174457&amp;m
- else press 'ไม่ต้องการ' system still on the same page</t>
  </si>
  <si>
    <t>Summary</t>
  </si>
  <si>
    <t>iOS</t>
  </si>
  <si>
    <t>Android</t>
  </si>
  <si>
    <t>Inprogress</t>
  </si>
  <si>
    <t>Skip</t>
  </si>
  <si>
    <t>Fail</t>
  </si>
  <si>
    <t>Block</t>
  </si>
  <si>
    <t>Pass</t>
  </si>
  <si>
    <t>Progress</t>
  </si>
  <si>
    <t>Refer epic Link</t>
  </si>
  <si>
    <t>Refer Backlog No.</t>
  </si>
  <si>
    <t>Test Result iOS</t>
  </si>
  <si>
    <t>Test Result Android</t>
  </si>
  <si>
    <t>Link</t>
  </si>
  <si>
    <t>Details</t>
  </si>
  <si>
    <t>3.Register TOL/CVG via online channel</t>
  </si>
  <si>
    <t>Version Built : TOL 73.3 (866)</t>
  </si>
  <si>
    <t>Version Built : 73.1.051116 (TOL-CICD) (308)</t>
  </si>
  <si>
    <t>Romtheera Wang</t>
  </si>
  <si>
    <t>Passed</t>
  </si>
  <si>
    <t>เบอร์ Dtac รอ team Rewards set
19May26 - เบอร์ Dtac แสดง suspended ด้วย จะมีอัปเดตต่อไปใน V1.2</t>
  </si>
  <si>
    <t>เบอร์ Dtac รอ team Rewards set
ปัจจุบัน ระบบ call เช็คข้อมูล บน prod เลยยังต่อที่ Env test ไม่ได้ (API HR ไป Call PROD)
20May26 - Skip สิทธิ์พนักงาน True จะมีอัปเดตต่อไปใน V1.2</t>
  </si>
  <si>
    <t>ปัจจุบัน ระบบ call เช็คข้อมูล บน prod เลยยังต่อที่ Env test ไม่ได้ (API HR ไป Call PROD)
รอวางผล
20May26 - Skip สิทธิ์พนักงาน True จะมีอัปเดตต่อไปใน V1.2</t>
  </si>
  <si>
    <t>20May26 - เครื่อง Android มีเบอร์ Postpaid ที่แสดงบน app 13 เบอร์ ส่วนเบอร์ที่ api เรียกมามี 27 เบอร์</t>
  </si>
  <si>
    <t>พนักงาน CP ไม่มีเบอร์ True/Dtac
Data Prod
Thai ID: 1101500209306</t>
  </si>
  <si>
    <t>Version Built : 73.8.070101 (TOL-CICD) (312)</t>
  </si>
  <si>
    <r>
      <rPr>
        <sz val="10"/>
        <color rgb="FF000000"/>
        <rFont val="Tahoma"/>
      </rPr>
      <t xml:space="preserve">Verify plivilege of customer in case : 
 - Customer exiting TMH and customer have mobile number of </t>
    </r>
    <r>
      <rPr>
        <sz val="10"/>
        <color rgb="FFFF0000"/>
        <rFont val="Tahoma"/>
      </rPr>
      <t xml:space="preserve">true
</t>
    </r>
    <r>
      <rPr>
        <sz val="10"/>
        <color rgb="FF000000"/>
        <rFont val="Tahoma"/>
      </rPr>
      <t xml:space="preserve"> - Press สิทธิ์เบอร์ TRUE / DTAC
 - User select mobile number for use benefits
 - System check mobile is</t>
    </r>
    <r>
      <rPr>
        <b/>
        <sz val="10"/>
        <color rgb="FF0000FF"/>
        <rFont val="Tahoma"/>
      </rPr>
      <t xml:space="preserve"> </t>
    </r>
    <r>
      <rPr>
        <b/>
        <sz val="10"/>
        <color rgb="FFFF0000"/>
        <rFont val="Tahoma"/>
      </rPr>
      <t xml:space="preserve">duplicate privilege
</t>
    </r>
    <r>
      <rPr>
        <sz val="10"/>
        <color rgb="FF000000"/>
        <rFont val="Tahoma"/>
      </rPr>
      <t xml:space="preserve">   </t>
    </r>
    <r>
      <rPr>
        <b/>
        <sz val="10"/>
        <color rgb="FFEA4335"/>
        <rFont val="Tahoma"/>
      </rPr>
      <t>-- Press 'ไม่ต้องการ'
   -- Press 'ต้องการ'</t>
    </r>
  </si>
  <si>
    <t>1.The system will display alert message "เบอร์ 0xx-xxx-xxxx กำลังใช้รับสิทธิพิเศษสำหรับ หมายเลขทรูออนไลน์ 9600898765
หากดำเนินการต่อ สิทธิพิเศษเดิมนี้จะถูกยกเลิก
ต้องการดำเนินการต่อหรือไม่?"
  - 'ไม่ต้องการ' button
  - 'ต้องการ' button
refer figma https://www.figma.com/design/yjyoAP0EMDXJST790SY49T/ONE006-ONE-APP---TOL?node-id=2687-181669&amp;m
2.When press 'ไม่ต้องการ' The system still on 'เลือกเบอร์ TRUE / DTAC เพื่อรับสิทธิพิเศษ' screen
3.When press 'ต้องการ' The system will navigate to package screen refer : https://www.figma.com/design/yjyoAP0EMDXJST790SY49T/ONE006-ONE-APP---TOL?node-id=8288-219036&amp;m</t>
  </si>
  <si>
    <t>วางผลทีหลัง
21May26 - ไม่เจอ Thai ID CP &gt; พี่ฟิวแจ้งให้ใช้บุคคลธรรมดาได้เลย &gt; Failed สีปุ่ม "ไม่ต้องการ" ไม่ตรง Figma เปิด Defect แล้ว
ลูกค้าที่มีเบอร์ TMH (Soft bundle)
Thai ID : 2568090200518
Address ID : 29211531
Name : จิรายุ วรารักษ์
TOL : 9630012633
TMH : 0642270201
Value Bundle : VBTOL_EXS24M</t>
  </si>
  <si>
    <t>Android
&gt;&gt; แสดง format เบอร์ผิด แสดงเป็น 66
&gt;&gt; ต้องแสดง 06x-xxx-xxxx
20May26 - Skip สิทธิ์พนักงาน True จะมีอัปเดตต่อไปใน V1.2</t>
  </si>
  <si>
    <r>
      <rPr>
        <sz val="10"/>
        <color rgb="FF000000"/>
        <rFont val="Tahoma"/>
      </rPr>
      <t xml:space="preserve">Verify plivilege of customer in case : 
 - Customer exiting TMH and customer have mobile number of </t>
    </r>
    <r>
      <rPr>
        <sz val="10"/>
        <color rgb="FF0000FF"/>
        <rFont val="Tahoma"/>
      </rPr>
      <t xml:space="preserve">Dtac
</t>
    </r>
    <r>
      <rPr>
        <sz val="10"/>
        <color rgb="FF000000"/>
        <rFont val="Tahoma"/>
      </rPr>
      <t xml:space="preserve"> - Press สิทธิ์เบอร์ TRUE / DTAC
 - User select mobile number for use benefits
 - System check mobile is</t>
    </r>
    <r>
      <rPr>
        <b/>
        <sz val="10"/>
        <color rgb="FF0000FF"/>
        <rFont val="Tahoma"/>
      </rPr>
      <t xml:space="preserve"> duplicate privilege
</t>
    </r>
    <r>
      <rPr>
        <sz val="10"/>
        <color rgb="FF000000"/>
        <rFont val="Tahoma"/>
      </rPr>
      <t xml:space="preserve">   </t>
    </r>
    <r>
      <rPr>
        <b/>
        <sz val="10"/>
        <color rgb="FF0D5ADB"/>
        <rFont val="Tahoma"/>
      </rPr>
      <t>-- Press 'ไม่ต้องการ'
   -- Press 'ต้องการ'</t>
    </r>
  </si>
  <si>
    <t>The system will display alert message refer figma https://www.figma.com/design/yjyoAP0EMDXJST790SY49T/ONE006-ONE-APP---TOL?node-id=2687-181669&amp;m
2.When press 'ไม่ต้องการ' The system still on 'เลือกเบอร์ TRUE / DTAC เพื่อรับสิทธิพิเศษ' screen
3.When press 'ต้องการ' The system will navigate to package screen refer : https://www.figma.com/design/yjyoAP0EMDXJST790SY49T/ONE006-ONE-APP---TOL?node-id=8288-219036&amp;m</t>
  </si>
  <si>
    <t>6/11/25
สรุป Logic ครั้งสุดท้าย จะจบที่ใช้ซ้ำได้ตลอด และตัดเรื่องเช็ค API Reward ออกด้วย
20May26 - Skip สิทธิ์พนักงาน True จะมีอัปเดตต่อไปใน V1.2</t>
  </si>
  <si>
    <t>incase have existing TMH status Active and suspended
 Thai ID : 3824120527384
 Name : ชญานันท์ ทรัพย์สมบัติ
 TMH (suspended) : 0642270250 // ตรวจสอบ data ไม่ติด susspend แล้ว
 TMH (Active): 0642270809</t>
  </si>
  <si>
    <r>
      <rPr>
        <b/>
        <sz val="10"/>
        <color rgb="FF000000"/>
        <rFont val="Tahoma"/>
      </rPr>
      <t xml:space="preserve"> Dtac status Suspended 
 2724388859435 บัตรประชาชน
 นิชกานต์ เกียรติวิทยา
 Customer : 626188301
 Suspended : 66661367525
Result
</t>
    </r>
    <r>
      <rPr>
        <b/>
        <u/>
        <sz val="10"/>
        <color rgb="FF1155CC"/>
        <rFont val="Tahoma"/>
      </rPr>
      <t xml:space="preserve">https://truecorp-my.sharepoint.com/personal/summata_cha_truecorp_co_th/_layouts/15/onedrive.aspx?id=%2Fpersonal%2Fsummata%5Fcha%5Ftruecorp%5Fco%5Fth%2FDocuments%2FOne%20app%20%2D%20TOL%202025%2FTest%20data%20and%20Test%20case%20QA%2FUAT%2FTOL%20new%20journey%20%2D%20Phase%201%20release%201%2FTest%20Result%2FResult%5FRegression%20Validate%20Screen&amp;viewid=4f0e0c11%2D7dc4%2D494e%2Db81f%2D5eeba374b354&amp;csf=1&amp;ovuser=6e01df19%2De8f8%2D4fac%2D93f4%2Dc9221cf2a4be%2Cwannapa%2Ethongkham%40outlook%2Ecom&amp;OR=Teams%2DHL&amp;CT=1762939764401&amp;clickparams=eyJBcHBOYW1lIjoiVGVhbXMtRGVza3RvcCIsIkFwcFZlcnNpb24iOiI0OS8yNTEwMTYxNjUxMSIsIkhhc0ZlZGVyYXRlZFVzZXIiOmZhbHNlfQ%3D%3D&amp;CID=2d99d8a1%2D80cc%2D6000%2D23d3%2De181c6c7f809&amp;cidOR=SPO&amp;FolderCTID=0x012000343DA3A6A8D883489805655EBF491CE6
</t>
    </r>
    <r>
      <rPr>
        <sz val="10"/>
        <color rgb="FF000000"/>
        <rFont val="Tahoma"/>
      </rPr>
      <t>21May26 - เข้าหน้า Package List ไม่ได้ พี่กิ๊กแจ้งว่าปัจจุบันเหมือนยังเข้าไม่ได้กรณีเลือกสิทธิ์เบอร์ True / Dtac &gt; คอนเฟิร์ม Pass และจะมีการอัปเดต Suspend Dtac ออกใน v1.2</t>
    </r>
  </si>
  <si>
    <r>
      <rPr>
        <b/>
        <sz val="10"/>
        <color rgb="FF000000"/>
        <rFont val="Tahoma"/>
      </rPr>
      <t xml:space="preserve"> Dtac status Suspended 
 2724388859435 บัตรประชาชน
 นิชกานต์ เกียรติวิทยา
 Customer : 626188301
 Suspended : 66661367525
Result
</t>
    </r>
    <r>
      <rPr>
        <b/>
        <u/>
        <sz val="10"/>
        <color rgb="FF1155CC"/>
        <rFont val="Tahoma"/>
      </rPr>
      <t xml:space="preserve">https://truecorp-my.sharepoint.com/personal/summata_cha_truecorp_co_th/_layouts/15/onedrive.aspx?id=%2Fpersonal%2Fsummata%5Fcha%5Ftruecorp%5Fco%5Fth%2FDocuments%2FOne%20app%20%2D%20TOL%202025%2FTest%20data%20and%20Test%20case%20QA%2FUAT%2FTOL%20new%20journey%20%2D%20Phase%201%20release%201%2FTest%20Result%2FResult%5FRegression%20Validate%20Screen&amp;viewid=4f0e0c11%2D7dc4%2D494e%2Db81f%2D5eeba374b354&amp;csf=1&amp;ovuser=6e01df19%2De8f8%2D4fac%2D93f4%2Dc9221cf2a4be%2Cwannapa%2Ethongkham%40outlook%2Ecom&amp;OR=Teams%2DHL&amp;CT=1762939764401&amp;clickparams=eyJBcHBOYW1lIjoiVGVhbXMtRGVza3RvcCIsIkFwcFZlcnNpb24iOiI0OS8yNTEwMTYxNjUxMSIsIkhhc0ZlZGVyYXRlZFVzZXIiOmZhbHNlfQ%3D%3D&amp;CID=2d99d8a1%2D80cc%2D6000%2D23d3%2De181c6c7f809&amp;cidOR=SPO&amp;FolderCTID=0x012000343DA3A6A8D883489805655EBF491CE6
</t>
    </r>
    <r>
      <rPr>
        <u/>
        <sz val="10"/>
        <color rgb="FF000000"/>
        <rFont val="Tahoma"/>
      </rPr>
      <t>21May26 - เข้าหน้า Package List ไม่ได้ พี่กิ๊กแจ้งว่าปัจจุบันเหมือนยังเข้าไม่ได้กรณีเลือกสิทธิ์เบอร์ True / Dtac &gt; คอนเฟิร์ม Pass และจะมีการอัปเดต Dtac Suspend ออกใน v1.2</t>
    </r>
  </si>
  <si>
    <t>Version Built : TOL 73.3 (866)
นาทีที่ 0:00:35</t>
  </si>
  <si>
    <t>Version Built : TOL 73.3 (866)
นาทีที่ 0:00:42</t>
  </si>
  <si>
    <r>
      <rPr>
        <u/>
        <sz val="10"/>
        <color rgb="FF1155CC"/>
        <rFont val="Tahoma"/>
      </rPr>
      <t xml:space="preserve">https://trueomx.atlassian.net/browse/THL-641
https://trueomx.atlassian.net/browse/THL-643
</t>
    </r>
    <r>
      <rPr>
        <sz val="10"/>
        <color rgb="FF000000"/>
        <rFont val="Tahoma"/>
      </rPr>
      <t>21May26 - ยังไม่มี Code &gt; "refCode": "FC3C477C03"</t>
    </r>
  </si>
  <si>
    <t>Version Built : TOL 73.3 (868)</t>
  </si>
  <si>
    <t>Version Built : 73.8.052809 (TOL-CICD) (312)</t>
  </si>
  <si>
    <r>
      <rPr>
        <u/>
        <sz val="10"/>
        <color rgb="FF0000FF"/>
        <rFont val="Tahoma"/>
      </rPr>
      <t xml:space="preserve">https://trueomx.atlassian.net/browse/THL-643
</t>
    </r>
    <r>
      <rPr>
        <sz val="10"/>
        <color rgb="FF000000"/>
        <rFont val="Tahoma"/>
      </rPr>
      <t>21May26 - Actual Results ไม่ตรง Figma &gt; เปิด Defect แล้ว
บุคคลทั่วไป ไม่มีเบอร์ True/Dtac
Thai ID : 5147110065332
Name : ธนทัต ไชยเอก
26May26 - เนื่องจากบุคคลทั่วไป ไม่มีเบอร์ True/Dtac มีไอดีเดียวข้างต้น แต่ติดว่ากำลังติดตั้ง เลยเลี่ยงมาใช้
Thai ID: 2164221590942 ซึ่งเป็นไอดีพนักงาน True ไม่มีเบอร์ True/Dtac แทน เพราะ v1.1 ยังไม่มีสิทธิ์ของพนักงาน True เพิ่มเข้ามา</t>
    </r>
  </si>
  <si>
    <t>Version Built : TOL 73.3 (866)
นาทีที่ 00:28:00</t>
  </si>
  <si>
    <t>บุคคลทั่วไป ไม่มีเบอร์ True/Dtac
Thai ID : 5147110065332
Name : ธนทัต ไชยเอก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</si>
</sst>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sz val="10"/>
      <color theme="1"/>
      <name val="Tahoma"/>
    </font>
    <font>
      <b/>
      <sz val="10"/>
      <color rgb="FF000000"/>
      <name val="Tahoma"/>
    </font>
    <font>
      <sz val="10"/>
      <color rgb="FF000000"/>
      <name val="Tahoma"/>
    </font>
    <font>
      <b/>
      <sz val="10"/>
      <color theme="1"/>
      <name val="Tahoma"/>
    </font>
    <font>
      <b/>
      <sz val="10"/>
      <color rgb="FFFF0000"/>
      <name val="Tahoma"/>
    </font>
    <font>
      <sz val="10"/>
      <color rgb="FFFF0000"/>
      <name val="Tahoma"/>
    </font>
    <font>
      <b/>
      <sz val="10"/>
      <color rgb="FF0000FF"/>
      <name val="Tahoma"/>
    </font>
    <font>
      <u/>
      <sz val="10"/>
      <color rgb="FF0000FF"/>
      <name val="Tahoma"/>
    </font>
    <font>
      <sz val="10"/>
      <color rgb="FF0000FF"/>
      <name val="Tahoma"/>
    </font>
    <font>
      <b/>
      <u/>
      <sz val="10"/>
      <color rgb="FF000000"/>
      <name val="Tahoma"/>
    </font>
    <font>
      <b/>
      <u/>
      <sz val="10"/>
      <color rgb="FF1155CC"/>
      <name val="Tahoma"/>
    </font>
    <font>
      <u/>
      <sz val="10"/>
      <color rgb="FF1155CC"/>
      <name val="Tahoma"/>
    </font>
    <font>
      <b/>
      <sz val="10"/>
      <color rgb="FF0D5ADB"/>
      <name val="Tahoma"/>
    </font>
    <font>
      <b/>
      <sz val="10"/>
      <color rgb="FFEA4335"/>
      <name val="Tahoma"/>
    </font>
    <font>
      <u/>
      <sz val="10"/>
      <color theme="10"/>
      <name val="Arial"/>
      <scheme val="minor"/>
    </font>
    <font>
      <b/>
      <sz val="10"/>
      <name val="Tahoma"/>
    </font>
    <font>
      <u/>
      <sz val="10"/>
      <color rgb="FF000000"/>
      <name val="Tahoma"/>
    </font>
  </fonts>
  <fills count="15">
    <fill>
      <patternFill patternType="none"/>
    </fill>
    <fill>
      <patternFill patternType="gray125"/>
    </fill>
    <fill>
      <patternFill patternType="solid">
        <fgColor rgb="FF4A86E8"/>
        <bgColor rgb="FF4A86E8"/>
      </patternFill>
    </fill>
    <fill>
      <patternFill patternType="solid">
        <fgColor rgb="FFFCE5CD"/>
        <bgColor rgb="FFFCE5CD"/>
      </patternFill>
    </fill>
    <fill>
      <patternFill patternType="solid">
        <fgColor rgb="FFB7B7B7"/>
        <bgColor rgb="FFB7B7B7"/>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D0E0E3"/>
        <bgColor rgb="FFD0E0E3"/>
      </patternFill>
    </fill>
    <fill>
      <patternFill patternType="solid">
        <fgColor rgb="FFD9EAD3"/>
        <bgColor rgb="FFD9EAD3"/>
      </patternFill>
    </fill>
    <fill>
      <patternFill patternType="solid">
        <fgColor rgb="FF339966"/>
        <bgColor rgb="FF339966"/>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34998626667073579"/>
        <bgColor indexed="64"/>
      </patternFill>
    </fill>
  </fills>
  <borders count="2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top style="medium">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thin">
        <color rgb="FF000000"/>
      </bottom>
      <diagonal/>
    </border>
  </borders>
  <cellStyleXfs count="2">
    <xf numFmtId="0" fontId="0" fillId="0" borderId="0"/>
    <xf numFmtId="0" fontId="15" fillId="0" borderId="0" applyNumberFormat="0" applyFill="0" applyBorder="0" applyAlignment="0" applyProtection="0"/>
  </cellStyleXfs>
  <cellXfs count="124">
    <xf numFmtId="0" fontId="0" fillId="0" borderId="0" xfId="0"/>
    <xf numFmtId="0" fontId="2" fillId="6" borderId="19" xfId="0" applyFont="1" applyFill="1" applyBorder="1" applyAlignment="1">
      <alignment horizontal="center"/>
    </xf>
    <xf numFmtId="0" fontId="3" fillId="0" borderId="0" xfId="0" applyFont="1"/>
    <xf numFmtId="0" fontId="2" fillId="0" borderId="0" xfId="0" applyFont="1" applyAlignment="1">
      <alignment horizontal="center"/>
    </xf>
    <xf numFmtId="0" fontId="2" fillId="0" borderId="20" xfId="0" applyFont="1" applyBorder="1" applyAlignment="1">
      <alignment horizontal="center"/>
    </xf>
    <xf numFmtId="0" fontId="2" fillId="0" borderId="21" xfId="0" applyFont="1" applyBorder="1" applyAlignment="1">
      <alignment horizontal="right"/>
    </xf>
    <xf numFmtId="0" fontId="3" fillId="10" borderId="22" xfId="0" applyFont="1" applyFill="1" applyBorder="1" applyAlignment="1">
      <alignment horizontal="center"/>
    </xf>
    <xf numFmtId="0" fontId="3" fillId="0" borderId="22" xfId="0" applyFont="1" applyBorder="1" applyAlignment="1">
      <alignment horizontal="center"/>
    </xf>
    <xf numFmtId="10" fontId="3" fillId="0" borderId="22" xfId="0" applyNumberFormat="1" applyFont="1" applyBorder="1" applyAlignment="1">
      <alignment horizontal="center"/>
    </xf>
    <xf numFmtId="0" fontId="1" fillId="11" borderId="16" xfId="0" applyFont="1" applyFill="1" applyBorder="1" applyAlignment="1">
      <alignment horizontal="center" vertical="top" wrapText="1"/>
    </xf>
    <xf numFmtId="0" fontId="2" fillId="6" borderId="19" xfId="0" applyFont="1" applyFill="1" applyBorder="1"/>
    <xf numFmtId="0" fontId="1" fillId="0" borderId="0" xfId="0" applyFont="1" applyAlignment="1">
      <alignment horizontal="center" vertical="center"/>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1" fillId="0" borderId="12" xfId="0" applyFont="1" applyBorder="1" applyAlignment="1">
      <alignment horizontal="center" vertical="top" wrapText="1"/>
    </xf>
    <xf numFmtId="0" fontId="1" fillId="0" borderId="12" xfId="0" applyFont="1" applyBorder="1" applyAlignment="1">
      <alignment horizontal="center" vertical="top"/>
    </xf>
    <xf numFmtId="0" fontId="1" fillId="0" borderId="12" xfId="0" applyFont="1" applyBorder="1" applyAlignment="1">
      <alignment vertical="top" wrapText="1"/>
    </xf>
    <xf numFmtId="0" fontId="1" fillId="0" borderId="8" xfId="0" applyFont="1" applyBorder="1" applyAlignment="1">
      <alignment horizontal="center" vertical="top" wrapText="1"/>
    </xf>
    <xf numFmtId="0" fontId="1" fillId="0" borderId="17" xfId="0" applyFont="1" applyBorder="1" applyAlignment="1">
      <alignment horizontal="center" vertical="top" wrapText="1"/>
    </xf>
    <xf numFmtId="0" fontId="1" fillId="5" borderId="16" xfId="0" applyFont="1" applyFill="1" applyBorder="1" applyAlignment="1">
      <alignment horizontal="center" vertical="top" wrapText="1"/>
    </xf>
    <xf numFmtId="0" fontId="1" fillId="5" borderId="18" xfId="0" applyFont="1" applyFill="1" applyBorder="1" applyAlignment="1">
      <alignment horizontal="center" vertical="top" wrapText="1"/>
    </xf>
    <xf numFmtId="0" fontId="1" fillId="4" borderId="17" xfId="0" applyFont="1" applyFill="1" applyBorder="1" applyAlignment="1">
      <alignment horizontal="center" vertical="top" wrapText="1"/>
    </xf>
    <xf numFmtId="0" fontId="1" fillId="4" borderId="18" xfId="0" applyFont="1" applyFill="1" applyBorder="1" applyAlignment="1">
      <alignment horizontal="center" vertical="top" wrapText="1"/>
    </xf>
    <xf numFmtId="0" fontId="1" fillId="5" borderId="17" xfId="0" applyFont="1" applyFill="1" applyBorder="1" applyAlignment="1">
      <alignment horizontal="center" vertical="top" wrapText="1"/>
    </xf>
    <xf numFmtId="0" fontId="1" fillId="0" borderId="16" xfId="0" applyFont="1" applyBorder="1" applyAlignment="1">
      <alignment horizontal="center" vertical="top" wrapText="1"/>
    </xf>
    <xf numFmtId="0" fontId="1" fillId="0" borderId="18" xfId="0" applyFont="1" applyBorder="1" applyAlignment="1">
      <alignment horizontal="center" vertical="top" wrapText="1"/>
    </xf>
    <xf numFmtId="0" fontId="1" fillId="4" borderId="16" xfId="0" applyFont="1" applyFill="1" applyBorder="1" applyAlignment="1">
      <alignment horizontal="center" vertical="top" wrapText="1"/>
    </xf>
    <xf numFmtId="0" fontId="1" fillId="0" borderId="15" xfId="0" applyFont="1" applyBorder="1" applyAlignment="1">
      <alignment vertical="top" wrapText="1"/>
    </xf>
    <xf numFmtId="0" fontId="3" fillId="11" borderId="12" xfId="0" applyFont="1" applyFill="1" applyBorder="1" applyAlignment="1">
      <alignment vertical="top" wrapText="1"/>
    </xf>
    <xf numFmtId="0" fontId="1" fillId="0" borderId="12" xfId="0" applyFont="1" applyBorder="1" applyAlignment="1">
      <alignment vertical="top"/>
    </xf>
    <xf numFmtId="0" fontId="1" fillId="0" borderId="0" xfId="0" applyFont="1" applyAlignment="1">
      <alignment vertical="top"/>
    </xf>
    <xf numFmtId="0" fontId="1" fillId="0" borderId="13" xfId="0" applyFont="1" applyBorder="1" applyAlignment="1">
      <alignment horizontal="center" vertical="top" wrapText="1"/>
    </xf>
    <xf numFmtId="0" fontId="1" fillId="5" borderId="12" xfId="0" applyFont="1" applyFill="1" applyBorder="1" applyAlignment="1">
      <alignment horizontal="center" vertical="top" wrapText="1"/>
    </xf>
    <xf numFmtId="0" fontId="1" fillId="5" borderId="14" xfId="0" applyFont="1" applyFill="1" applyBorder="1" applyAlignment="1">
      <alignment horizontal="center" vertical="top" wrapText="1"/>
    </xf>
    <xf numFmtId="0" fontId="1" fillId="4" borderId="13" xfId="0" applyFont="1" applyFill="1" applyBorder="1" applyAlignment="1">
      <alignment horizontal="center" vertical="top" wrapText="1"/>
    </xf>
    <xf numFmtId="0" fontId="1" fillId="4" borderId="14" xfId="0" applyFont="1" applyFill="1" applyBorder="1" applyAlignment="1">
      <alignment horizontal="center" vertical="top" wrapText="1"/>
    </xf>
    <xf numFmtId="0" fontId="1" fillId="0" borderId="14" xfId="0" applyFont="1" applyBorder="1" applyAlignment="1">
      <alignment horizontal="center" vertical="top" wrapText="1"/>
    </xf>
    <xf numFmtId="0" fontId="1" fillId="4" borderId="12" xfId="0" applyFont="1" applyFill="1" applyBorder="1" applyAlignment="1">
      <alignment horizontal="center" vertical="top" wrapText="1"/>
    </xf>
    <xf numFmtId="0" fontId="1" fillId="5" borderId="13" xfId="0" applyFont="1" applyFill="1" applyBorder="1" applyAlignment="1">
      <alignment horizontal="center" vertical="top" wrapText="1"/>
    </xf>
    <xf numFmtId="0" fontId="6" fillId="0" borderId="8" xfId="0" applyFont="1" applyBorder="1" applyAlignment="1">
      <alignment horizontal="center" vertical="top" wrapText="1"/>
    </xf>
    <xf numFmtId="0" fontId="1" fillId="11" borderId="12" xfId="0" applyFont="1" applyFill="1" applyBorder="1" applyAlignment="1">
      <alignment vertical="top" wrapText="1"/>
    </xf>
    <xf numFmtId="0" fontId="1" fillId="7" borderId="12" xfId="0" applyFont="1" applyFill="1" applyBorder="1" applyAlignment="1">
      <alignment vertical="top" wrapText="1"/>
    </xf>
    <xf numFmtId="0" fontId="3" fillId="11" borderId="12" xfId="0" quotePrefix="1" applyFont="1" applyFill="1" applyBorder="1" applyAlignment="1">
      <alignment vertical="top" wrapText="1"/>
    </xf>
    <xf numFmtId="0" fontId="1" fillId="8" borderId="12" xfId="0" applyFont="1" applyFill="1" applyBorder="1" applyAlignment="1">
      <alignment vertical="top" wrapText="1"/>
    </xf>
    <xf numFmtId="0" fontId="8" fillId="0" borderId="12" xfId="0" applyFont="1" applyBorder="1" applyAlignment="1">
      <alignment horizontal="left" vertical="top" wrapText="1"/>
    </xf>
    <xf numFmtId="0" fontId="3" fillId="0" borderId="8" xfId="0" applyFont="1" applyBorder="1" applyAlignment="1">
      <alignment horizontal="center" vertical="top" wrapText="1"/>
    </xf>
    <xf numFmtId="0" fontId="1" fillId="0" borderId="12" xfId="0" applyFont="1" applyBorder="1" applyAlignment="1">
      <alignment horizontal="left" vertical="top"/>
    </xf>
    <xf numFmtId="0" fontId="1" fillId="9" borderId="12" xfId="0" applyFont="1" applyFill="1" applyBorder="1" applyAlignment="1">
      <alignment vertical="top" wrapText="1"/>
    </xf>
    <xf numFmtId="0" fontId="3" fillId="0" borderId="12" xfId="0" applyFont="1" applyBorder="1" applyAlignment="1">
      <alignment horizontal="center" vertical="top" wrapText="1"/>
    </xf>
    <xf numFmtId="0" fontId="3" fillId="0" borderId="12" xfId="0" applyFont="1" applyBorder="1" applyAlignment="1">
      <alignment horizontal="left" vertical="top" wrapText="1"/>
    </xf>
    <xf numFmtId="0" fontId="3" fillId="0" borderId="16" xfId="0" applyFont="1" applyBorder="1" applyAlignment="1">
      <alignment horizontal="center" vertical="top" wrapText="1"/>
    </xf>
    <xf numFmtId="0" fontId="3" fillId="5" borderId="16" xfId="0" applyFont="1" applyFill="1" applyBorder="1" applyAlignment="1">
      <alignment horizontal="center" vertical="top" wrapText="1"/>
    </xf>
    <xf numFmtId="0" fontId="3" fillId="4" borderId="16" xfId="0" applyFont="1" applyFill="1" applyBorder="1" applyAlignment="1">
      <alignment horizontal="center" vertical="top" wrapText="1"/>
    </xf>
    <xf numFmtId="0" fontId="3" fillId="0" borderId="15" xfId="0" applyFont="1" applyBorder="1" applyAlignment="1">
      <alignment horizontal="left" vertical="top" wrapText="1"/>
    </xf>
    <xf numFmtId="0" fontId="3" fillId="11" borderId="12" xfId="0" quotePrefix="1" applyFont="1" applyFill="1" applyBorder="1" applyAlignment="1">
      <alignment horizontal="left" vertical="top" wrapText="1"/>
    </xf>
    <xf numFmtId="0" fontId="2" fillId="0" borderId="12" xfId="0" applyFont="1" applyBorder="1" applyAlignment="1">
      <alignment horizontal="left" vertical="top" wrapText="1"/>
    </xf>
    <xf numFmtId="0" fontId="3" fillId="0" borderId="0" xfId="0" applyFont="1" applyAlignment="1">
      <alignment horizontal="left" vertical="top" wrapText="1"/>
    </xf>
    <xf numFmtId="0" fontId="12" fillId="0" borderId="12" xfId="0" applyFont="1" applyBorder="1" applyAlignment="1">
      <alignment vertical="top" wrapText="1"/>
    </xf>
    <xf numFmtId="0" fontId="8" fillId="0" borderId="12" xfId="0" applyFont="1" applyBorder="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3" fillId="0" borderId="12" xfId="0" applyFont="1" applyBorder="1" applyAlignment="1">
      <alignment vertical="top" wrapText="1"/>
    </xf>
    <xf numFmtId="0" fontId="3" fillId="5" borderId="12" xfId="0" applyFont="1" applyFill="1" applyBorder="1" applyAlignment="1">
      <alignment horizontal="center" vertical="top" wrapText="1"/>
    </xf>
    <xf numFmtId="0" fontId="3" fillId="4" borderId="12" xfId="0" applyFont="1" applyFill="1" applyBorder="1" applyAlignment="1">
      <alignment horizontal="center" vertical="top" wrapText="1"/>
    </xf>
    <xf numFmtId="0" fontId="3" fillId="0" borderId="12" xfId="0" quotePrefix="1" applyFont="1" applyBorder="1" applyAlignment="1">
      <alignment vertical="top" wrapText="1"/>
    </xf>
    <xf numFmtId="0" fontId="3" fillId="0" borderId="19" xfId="0" applyFont="1" applyBorder="1" applyAlignment="1">
      <alignment vertical="top" wrapText="1"/>
    </xf>
    <xf numFmtId="0" fontId="1" fillId="0" borderId="1" xfId="0" applyFont="1" applyBorder="1" applyAlignment="1">
      <alignment horizontal="center" vertical="top" wrapText="1"/>
    </xf>
    <xf numFmtId="0" fontId="3" fillId="0" borderId="1" xfId="0" applyFont="1" applyBorder="1" applyAlignment="1">
      <alignment horizontal="center" vertical="top" wrapText="1"/>
    </xf>
    <xf numFmtId="0" fontId="1" fillId="0" borderId="1" xfId="0" applyFont="1" applyBorder="1" applyAlignment="1">
      <alignment horizontal="center" vertical="top"/>
    </xf>
    <xf numFmtId="0" fontId="3" fillId="0" borderId="1" xfId="0" applyFont="1" applyBorder="1" applyAlignment="1">
      <alignment horizontal="left" vertical="top" wrapText="1"/>
    </xf>
    <xf numFmtId="0" fontId="3" fillId="0" borderId="2" xfId="0" applyFont="1" applyBorder="1" applyAlignment="1">
      <alignment horizontal="center" vertical="top" wrapText="1"/>
    </xf>
    <xf numFmtId="0" fontId="1" fillId="0" borderId="2" xfId="0" applyFont="1" applyBorder="1" applyAlignment="1">
      <alignment horizontal="center" vertical="top" wrapText="1"/>
    </xf>
    <xf numFmtId="0" fontId="3" fillId="0" borderId="5" xfId="0" applyFont="1" applyBorder="1" applyAlignment="1">
      <alignment horizontal="center" vertical="top" wrapText="1"/>
    </xf>
    <xf numFmtId="0" fontId="3" fillId="5" borderId="5" xfId="0" applyFont="1" applyFill="1" applyBorder="1" applyAlignment="1">
      <alignment horizontal="center" vertical="top" wrapText="1"/>
    </xf>
    <xf numFmtId="0" fontId="3" fillId="4" borderId="5" xfId="0" applyFont="1" applyFill="1" applyBorder="1" applyAlignment="1">
      <alignment horizontal="center" vertical="top" wrapText="1"/>
    </xf>
    <xf numFmtId="0" fontId="3" fillId="0" borderId="4" xfId="0" applyFont="1" applyBorder="1" applyAlignment="1">
      <alignment horizontal="left" vertical="top" wrapText="1"/>
    </xf>
    <xf numFmtId="0" fontId="3" fillId="11" borderId="1" xfId="0" quotePrefix="1" applyFont="1" applyFill="1" applyBorder="1" applyAlignment="1">
      <alignment horizontal="left" vertical="top" wrapText="1"/>
    </xf>
    <xf numFmtId="0" fontId="1" fillId="11" borderId="5" xfId="0" applyFont="1" applyFill="1" applyBorder="1" applyAlignment="1">
      <alignment horizontal="center" vertical="top" wrapText="1"/>
    </xf>
    <xf numFmtId="0" fontId="10" fillId="0" borderId="1" xfId="0" applyFont="1" applyBorder="1" applyAlignment="1">
      <alignment horizontal="left" vertical="top" wrapText="1"/>
    </xf>
    <xf numFmtId="0" fontId="3" fillId="0" borderId="19" xfId="0" applyFont="1" applyBorder="1" applyAlignment="1">
      <alignment horizontal="left" vertical="top" wrapText="1"/>
    </xf>
    <xf numFmtId="0" fontId="1" fillId="0" borderId="16" xfId="0" applyFont="1" applyBorder="1" applyAlignment="1">
      <alignment horizontal="center" vertical="top"/>
    </xf>
    <xf numFmtId="0" fontId="1" fillId="7" borderId="16" xfId="0" applyFont="1" applyFill="1" applyBorder="1" applyAlignment="1">
      <alignment vertical="top" wrapText="1"/>
    </xf>
    <xf numFmtId="0" fontId="1" fillId="0" borderId="9" xfId="0" applyFont="1" applyBorder="1" applyAlignment="1">
      <alignment horizontal="center" vertical="top" wrapText="1"/>
    </xf>
    <xf numFmtId="0" fontId="1" fillId="0" borderId="22" xfId="0" applyFont="1" applyBorder="1" applyAlignment="1">
      <alignment vertical="top" wrapText="1"/>
    </xf>
    <xf numFmtId="0" fontId="3" fillId="11" borderId="16" xfId="0" applyFont="1" applyFill="1" applyBorder="1" applyAlignment="1">
      <alignment vertical="top" wrapText="1"/>
    </xf>
    <xf numFmtId="0" fontId="1" fillId="0" borderId="16" xfId="0" applyFont="1" applyBorder="1" applyAlignment="1">
      <alignment vertical="top"/>
    </xf>
    <xf numFmtId="0" fontId="1" fillId="0" borderId="16" xfId="0" applyFont="1" applyBorder="1" applyAlignment="1">
      <alignment vertical="top" wrapText="1"/>
    </xf>
    <xf numFmtId="0" fontId="3" fillId="0" borderId="0" xfId="0" applyFont="1" applyAlignment="1">
      <alignment wrapText="1"/>
    </xf>
    <xf numFmtId="0" fontId="16" fillId="12" borderId="1" xfId="0" applyFont="1" applyFill="1" applyBorder="1" applyAlignment="1">
      <alignment horizontal="center" vertical="center"/>
    </xf>
    <xf numFmtId="0" fontId="1" fillId="0" borderId="15" xfId="0" applyFont="1" applyBorder="1" applyAlignment="1">
      <alignment horizontal="center" vertical="top"/>
    </xf>
    <xf numFmtId="0" fontId="15" fillId="0" borderId="12" xfId="1" applyBorder="1" applyAlignment="1">
      <alignment horizontal="center" vertical="top"/>
    </xf>
    <xf numFmtId="0" fontId="1" fillId="13" borderId="16" xfId="0" applyFont="1" applyFill="1" applyBorder="1" applyAlignment="1">
      <alignment horizontal="center" vertical="top" wrapText="1"/>
    </xf>
    <xf numFmtId="0" fontId="15" fillId="0" borderId="12" xfId="1" applyFill="1" applyBorder="1" applyAlignment="1">
      <alignment horizontal="center" vertical="top"/>
    </xf>
    <xf numFmtId="0" fontId="0" fillId="14" borderId="12" xfId="0" applyFill="1" applyBorder="1" applyAlignment="1">
      <alignment horizontal="center" vertical="top"/>
    </xf>
    <xf numFmtId="0" fontId="8" fillId="0" borderId="8" xfId="0" applyFont="1" applyBorder="1" applyAlignment="1">
      <alignment horizontal="left" vertical="top" wrapText="1"/>
    </xf>
    <xf numFmtId="0" fontId="1" fillId="0" borderId="8" xfId="0" applyFont="1" applyBorder="1" applyAlignment="1">
      <alignment horizontal="left" vertical="top" wrapText="1"/>
    </xf>
    <xf numFmtId="0" fontId="1" fillId="0" borderId="8" xfId="0" applyFont="1" applyBorder="1" applyAlignment="1">
      <alignment vertical="top" wrapText="1"/>
    </xf>
    <xf numFmtId="0" fontId="2" fillId="0" borderId="8" xfId="0" applyFont="1" applyBorder="1" applyAlignment="1">
      <alignment horizontal="left" vertical="top" wrapText="1"/>
    </xf>
    <xf numFmtId="0" fontId="10" fillId="0" borderId="2" xfId="0" applyFont="1" applyBorder="1" applyAlignment="1">
      <alignment horizontal="left" vertical="top" wrapText="1"/>
    </xf>
    <xf numFmtId="0" fontId="2" fillId="0" borderId="8" xfId="0" applyFont="1" applyBorder="1" applyAlignment="1">
      <alignment vertical="top" wrapText="1"/>
    </xf>
    <xf numFmtId="0" fontId="1" fillId="0" borderId="19" xfId="0" applyFont="1" applyBorder="1" applyAlignment="1">
      <alignment vertical="top"/>
    </xf>
    <xf numFmtId="0" fontId="3" fillId="0" borderId="19" xfId="0" applyFont="1" applyBorder="1"/>
    <xf numFmtId="0" fontId="3" fillId="0" borderId="12" xfId="1" applyFont="1" applyFill="1" applyBorder="1" applyAlignment="1">
      <alignment vertical="top" wrapText="1"/>
    </xf>
    <xf numFmtId="0" fontId="3" fillId="0" borderId="15" xfId="0" applyFont="1" applyBorder="1" applyAlignment="1">
      <alignment vertical="top" wrapText="1"/>
    </xf>
    <xf numFmtId="0" fontId="3" fillId="0" borderId="8" xfId="1" applyFont="1" applyBorder="1" applyAlignment="1">
      <alignment vertical="top" wrapText="1"/>
    </xf>
    <xf numFmtId="0" fontId="4"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12" borderId="1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cellXfs>
  <cellStyles count="2">
    <cellStyle name="Hyperlink" xfId="1" builtinId="8"/>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customXml" Target="../customXml/item2.xml"/><Relationship Id="rId1" Type="http://schemas.openxmlformats.org/officeDocument/2006/relationships/worksheet" Target="worksheets/sheet1.xml"/><Relationship Id="rId24" Type="http://schemas.openxmlformats.org/officeDocument/2006/relationships/theme" Target="theme/theme1.xml"/><Relationship Id="rId23" Type="http://customschemas.google.com/relationships/workbookmetadata" Target="metadata"/><Relationship Id="rId28" Type="http://schemas.openxmlformats.org/officeDocument/2006/relationships/customXml" Target="../customXml/item1.xml"/><Relationship Id="rId4" Type="http://schemas.openxmlformats.org/officeDocument/2006/relationships/worksheet" Target="worksheets/sheet4.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590550</xdr:colOff>
      <xdr:row>23</xdr:row>
      <xdr:rowOff>66675</xdr:rowOff>
    </xdr:to>
    <xdr:pic>
      <xdr:nvPicPr>
        <xdr:cNvPr id="2" name="Picture 1">
          <a:extLst>
            <a:ext uri="{FF2B5EF4-FFF2-40B4-BE49-F238E27FC236}">
              <a16:creationId xmlns:a16="http://schemas.microsoft.com/office/drawing/2014/main" id="{7F7801A4-D0ED-4D20-AE3F-B45911889860}"/>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9124950" cy="3790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igma.com/design/yjyoAP0EMDXJST790SY49T/ONE006-ONE-APP---TOL?node-id=1-247481&amp;t=Y9GcLkn1ewewo452-4" TargetMode="External"/><Relationship Id="rId13" Type="http://schemas.openxmlformats.org/officeDocument/2006/relationships/hyperlink" Target="https://www.figma.com/design/yjyoAP0EMDXJST790SY49T/ONE006-ONE-APP---TOL?node-id=1-248440&amp;t=v0kjaOIPPf1w5QzE-4" TargetMode="External"/><Relationship Id="rId18" Type="http://schemas.openxmlformats.org/officeDocument/2006/relationships/hyperlink" Target="https://www.figma.com/design/yjyoAP0EMDXJST790SY49T/ONE006-ONE-APP---TOL?node-id=1-248440&amp;t=v0kjaOIPPf1w5QzE-4" TargetMode="External"/><Relationship Id="rId3" Type="http://schemas.openxmlformats.org/officeDocument/2006/relationships/hyperlink" Target="https://www.figma.com/design/yjyoAP0EMDXJST790SY49T/ONE006-ONE-APP---TOL?node-id=1-247008&amp;t=xVORj6t5haQUZtA7-4" TargetMode="External"/><Relationship Id="rId21" Type="http://schemas.openxmlformats.org/officeDocument/2006/relationships/hyperlink" Target="https://truecorp-my.sharepoint.com/personal/summata_cha_truecorp_co_th/_layouts/15/onedrive.aspx?id=%2Fpersonal%2Fsummata%5Fcha%5Ftruecorp%5Fco%5Fth%2FDocuments%2FOne%20app%20%2D%20TOL%202025%2FTest%20data%20and%20Test%20case%20QA%2FUAT%2FTOL%20new%20journey%20%2D%20Phase%201%20release%201%2FTest%20Result%2FResult%5FRegression%20Validate%20Screen&amp;viewid=4f0e0c11%2D7dc4%2D494e%2Db81f%2D5eeba374b354&amp;csf=1&amp;ovuser=6e01df19%2De8f8%2D4fac%2D93f4%2Dc9221cf2a4be%2Cwannapa%2Ethongkham%40outlook%2Ecom&amp;OR=Teams%2DHL&amp;CT=1762939764401&amp;clickparams=eyJBcHBOYW1lIjoiVGVhbXMtRGVza3RvcCIsIkFwcFZlcnNpb24iOiI0OS8yNTEwMTYxNjUxMSIsIkhhc0ZlZGVyYXRlZFVzZXIiOmZhbHNlfQ%3D%3D&amp;CID=2d99d8a1%2D80cc%2D6000%2D23d3%2De181c6c7f809&amp;cidOR=SPO&amp;FolderCTID=0x012000343DA3A6A8D883489805655EBF491CE6" TargetMode="External"/><Relationship Id="rId7" Type="http://schemas.openxmlformats.org/officeDocument/2006/relationships/hyperlink" Target="https://www.figma.com/design/yjyoAP0EMDXJST790SY49T/ONE006-ONE-APP---TOL?node-id=1-248440&amp;t=Y9GcLkn1ewewo452-4" TargetMode="External"/><Relationship Id="rId12" Type="http://schemas.openxmlformats.org/officeDocument/2006/relationships/hyperlink" Target="https://www.figma.com/design/yjyoAP0EMDXJST790SY49T/ONE006-ONE-APP---TOL?node-id=1-247336&amp;t=v0kjaOIPPf1w5QzE-4" TargetMode="External"/><Relationship Id="rId17" Type="http://schemas.openxmlformats.org/officeDocument/2006/relationships/hyperlink" Target="https://trueomx.atlassian.net/browse/THL-643" TargetMode="External"/><Relationship Id="rId2" Type="http://schemas.openxmlformats.org/officeDocument/2006/relationships/hyperlink" Target="https://www.figma.com/design/yjyoAP0EMDXJST790SY49T/ONE006-ONE-APP---TOL?node-id=1-246977&amp;t=v0kjaOIPPf1w5QzE-4" TargetMode="External"/><Relationship Id="rId16" Type="http://schemas.openxmlformats.org/officeDocument/2006/relationships/hyperlink" Target="https://www.figma.com/design/yjyoAP0EMDXJST790SY49T/ONE006-ONE-APP---TOL?node-id=1-247384&amp;t=sniq03Dy8wIJs7ml-4" TargetMode="External"/><Relationship Id="rId20" Type="http://schemas.openxmlformats.org/officeDocument/2006/relationships/hyperlink" Target="https://truecorp-my.sharepoint.com/personal/summata_cha_truecorp_co_th/_layouts/15/onedrive.aspx?id=%2Fpersonal%2Fsummata%5Fcha%5Ftruecorp%5Fco%5Fth%2FDocuments%2FOne%20app%20%2D%20TOL%202025%2FTest%20data%20and%20Test%20case%20QA%2FUAT%2FTOL%20new%20journey%20%2D%20Phase%201%20release%201%2FTest%20Result%2FResult%5FRegression%20Validate%20Screen&amp;viewid=4f0e0c11%2D7dc4%2D494e%2Db81f%2D5eeba374b354&amp;csf=1&amp;ovuser=6e01df19%2De8f8%2D4fac%2D93f4%2Dc9221cf2a4be%2Cwannapa%2Ethongkham%40outlook%2Ecom&amp;OR=Teams%2DHL&amp;CT=1762939764401&amp;clickparams=eyJBcHBOYW1lIjoiVGVhbXMtRGVza3RvcCIsIkFwcFZlcnNpb24iOiI0OS8yNTEwMTYxNjUxMSIsIkhhc0ZlZGVyYXRlZFVzZXIiOmZhbHNlfQ%3D%3D&amp;CID=2d99d8a1%2D80cc%2D6000%2D23d3%2De181c6c7f809&amp;cidOR=SPO&amp;FolderCTID=0x012000343DA3A6A8D883489805655EBF491CE6" TargetMode="External"/><Relationship Id="rId1" Type="http://schemas.openxmlformats.org/officeDocument/2006/relationships/hyperlink" Target="https://www.figma.com/design/yjyoAP0EMDXJST790SY49T/ONE006-ONE-APP---TOL?node-id=1-246938&amp;t=v0kjaOIPPf1w5QzE-4" TargetMode="External"/><Relationship Id="rId6" Type="http://schemas.openxmlformats.org/officeDocument/2006/relationships/hyperlink" Target="https://www.figma.com/design/yjyoAP0EMDXJST790SY49T/ONE006-ONE-APP---TOL?node-id=1-246977&amp;t=v0kjaOIPPf1w5QzE-4" TargetMode="External"/><Relationship Id="rId11" Type="http://schemas.openxmlformats.org/officeDocument/2006/relationships/hyperlink" Target="https://www.figma.com/design/yjyoAP0EMDXJST790SY49T/ONE006-ONE-APP---TOL?node-id=1-248440&amp;t=v0kjaOIPPf1w5QzE-4" TargetMode="External"/><Relationship Id="rId5" Type="http://schemas.openxmlformats.org/officeDocument/2006/relationships/hyperlink" Target="https://www.figma.com/design/yjyoAP0EMDXJST790SY49T/ONE006-ONE-APP---TOL?node-id=1-247085&amp;t=xVORj6t5haQUZtA7-4" TargetMode="External"/><Relationship Id="rId15" Type="http://schemas.openxmlformats.org/officeDocument/2006/relationships/hyperlink" Target="https://trueomx.atlassian.net/browse/THL-641" TargetMode="External"/><Relationship Id="rId10" Type="http://schemas.openxmlformats.org/officeDocument/2006/relationships/hyperlink" Target="https://www.figma.com/design/yjyoAP0EMDXJST790SY49T/ONE006-ONE-APP---TOL?node-id=1-247336&amp;t=v0kjaOIPPf1w5QzE-4" TargetMode="External"/><Relationship Id="rId19" Type="http://schemas.openxmlformats.org/officeDocument/2006/relationships/hyperlink" Target="https://www.figma.com/design/yjyoAP0EMDXJST790SY49T/ONE006-ONE-APP---TOL?node-id=1-246938&amp;t=v0kjaOIPPf1w5QzE-4" TargetMode="External"/><Relationship Id="rId4" Type="http://schemas.openxmlformats.org/officeDocument/2006/relationships/hyperlink" Target="https://www.figma.com/design/yjyoAP0EMDXJST790SY49T/ONE006-ONE-APP---TOL?node-id=1-246977&amp;t=v0kjaOIPPf1w5QzE-4" TargetMode="External"/><Relationship Id="rId9" Type="http://schemas.openxmlformats.org/officeDocument/2006/relationships/hyperlink" Target="https://trueomx.atlassian.net/browse/THL-635" TargetMode="External"/><Relationship Id="rId14" Type="http://schemas.openxmlformats.org/officeDocument/2006/relationships/hyperlink" Target="https://www.figma.com/design/yjyoAP0EMDXJST790SY49T/ONE006-ONE-APP---TOL?node-id=1-247161&amp;t=v0kjaOIPPf1w5QzE-4"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truecorp-my.sharepoint.com/personal/summata_cha_truecorp_co_th/_layouts/15/onedrive.aspx?id=%2Fpersonal%2Fsummata%5Fcha%5Ftruecorp%5Fco%5Fth%2FDocuments%2FOne%20app%20%2D%20TOL%202025%2FTest%20data%20and%20Test%20case%20QA%2FUAT%2FTOL%20new%20journey%20%2D%20Phase%201%20release%201%2FTest%20Result%2FResult%5FRegression%20Validate%20Screen&amp;viewid=4f0e0c11%2D7dc4%2D494e%2Db81f%2D5eeba374b354&amp;csf=1&amp;ovuser=6e01df19%2De8f8%2D4fac%2D93f4%2Dc9221cf2a4be%2Cwannapa%2Ethongkham%40outlook%2Ecom&amp;OR=Teams%2DHL&amp;CT=1762939764401&amp;clickparams=eyJBcHBOYW1lIjoiVGVhbXMtRGVza3RvcCIsIkFwcFZlcnNpb24iOiI0OS8yNTEwMTYxNjUxMSIsIkhhc0ZlZGVyYXRlZFVzZXIiOmZhbHNlfQ%3D%3D&amp;CID=2d99d8a1%2D80cc%2D6000%2D23d3%2De181c6c7f809&amp;cidOR=SPO&amp;FolderCTID=0x012000343DA3A6A8D883489805655EBF491CE6" TargetMode="External"/><Relationship Id="rId1" Type="http://schemas.openxmlformats.org/officeDocument/2006/relationships/hyperlink" Target="https://truecorp-my.sharepoint.com/personal/summata_cha_truecorp_co_th/_layouts/15/onedrive.aspx?id=%2Fpersonal%2Fsummata%5Fcha%5Ftruecorp%5Fco%5Fth%2FDocuments%2FOne%20app%20%2D%20TOL%202025%2FTest%20data%20and%20Test%20case%20QA%2FUAT%2FTOL%20new%20journey%20%2D%20Phase%201%20release%201%2FTest%20Result%2FResult%5FRegression%20Validate%20Screen&amp;viewid=4f0e0c11%2D7dc4%2D494e%2Db81f%2D5eeba374b354&amp;csf=1&amp;ovuser=6e01df19%2De8f8%2D4fac%2D93f4%2Dc9221cf2a4be%2Cwannapa%2Ethongkham%40outlook%2Ecom&amp;OR=Teams%2DHL&amp;CT=1762939764401&amp;clickparams=eyJBcHBOYW1lIjoiVGVhbXMtRGVza3RvcCIsIkFwcFZlcnNpb24iOiI0OS8yNTEwMTYxNjUxMSIsIkhhc0ZlZGVyYXRlZFVzZXIiOmZhbHNlfQ%3D%3D&amp;CID=2d99d8a1%2D80cc%2D6000%2D23d3%2De181c6c7f809&amp;cidOR=SPO&amp;FolderCTID=0x012000343DA3A6A8D883489805655EBF491CE6"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3" Type="http://schemas.openxmlformats.org/officeDocument/2006/relationships/hyperlink" Target="https://trueomx.atlassian.net/browse/THL-643" TargetMode="External"/><Relationship Id="rId18" Type="http://schemas.openxmlformats.org/officeDocument/2006/relationships/hyperlink" Target="https://www.figma.com/design/yjyoAP0EMDXJST790SY49T/ONE006-ONE-APP---TOL?node-id=1-247336&amp;t=v0kjaOIPPf1w5QzE-4" TargetMode="External"/><Relationship Id="rId2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6/iOS?csf=1&amp;web=1&amp;e=jbgRbV" TargetMode="External"/><Relationship Id="rId3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6/Android?csf=1&amp;web=1&amp;e=IPg8jd" TargetMode="External"/><Relationship Id="rId21" Type="http://schemas.openxmlformats.org/officeDocument/2006/relationships/hyperlink" Target="https://truecorp.sharepoint.com/:f:/s/TrueCorp-TrueDtacTH-TotalAccessCommunicationPlc-TechM-Workingarea/IgBQjQvQ2L5xQ44lp-d1-VAAAXJHzLPbIMcfpB0aiS050YM?e=aXID54" TargetMode="External"/><Relationship Id="rId3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7/Android?csf=1&amp;web=1&amp;e=QyylB1" TargetMode="External"/><Relationship Id="rId4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20/Android?csf=1&amp;web=1&amp;e=aKL3Bs" TargetMode="External"/><Relationship Id="rId4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1/iOS?csf=1&amp;web=1&amp;e=w2Fkeb" TargetMode="External"/><Relationship Id="rId5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9/iOS?csf=1&amp;web=1&amp;e=5efJET" TargetMode="External"/><Relationship Id="rId5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21/iOS?csf=1&amp;web=1&amp;e=SV97j5" TargetMode="External"/><Relationship Id="rId7" Type="http://schemas.openxmlformats.org/officeDocument/2006/relationships/hyperlink" Target="https://www.figma.com/design/yjyoAP0EMDXJST790SY49T/ONE006-ONE-APP---TOL?node-id=1-248440&amp;t=Y9GcLkn1ewewo452-4" TargetMode="External"/><Relationship Id="rId2" Type="http://schemas.openxmlformats.org/officeDocument/2006/relationships/hyperlink" Target="https://www.figma.com/design/yjyoAP0EMDXJST790SY49T/ONE006-ONE-APP---TOL?node-id=1-246977&amp;t=v0kjaOIPPf1w5QzE-4" TargetMode="External"/><Relationship Id="rId16" Type="http://schemas.openxmlformats.org/officeDocument/2006/relationships/hyperlink" Target="https://truecorp-my.sharepoint.com/personal/summata_cha_truecorp_co_th/_layouts/15/onedrive.aspx?id=%2Fpersonal%2Fsummata%5Fcha%5Ftruecorp%5Fco%5Fth%2FDocuments%2FOne%20app%20%2D%20TOL%202025%2FTest%20data%20and%20Test%20case%20QA%2FUAT%2FTOL%20new%20journey%20%2D%20Phase%201%20release%201%2FTest%20Result%2FResult%5FRegression%20Validate%20Screen&amp;viewid=4f0e0c11%2D7dc4%2D494e%2Db81f%2D5eeba374b354&amp;csf=1&amp;ovuser=6e01df19%2De8f8%2D4fac%2D93f4%2Dc9221cf2a4be%2Cwannapa%2Ethongkham%40outlook%2Ecom&amp;OR=Teams%2DHL&amp;CT=1762939764401&amp;clickparams=eyJBcHBOYW1lIjoiVGVhbXMtRGVza3RvcCIsIkFwcFZlcnNpb24iOiI0OS8yNTEwMTYxNjUxMSIsIkhhc0ZlZGVyYXRlZFVzZXIiOmZhbHNlfQ%3D%3D&amp;CID=2d99d8a1%2D80cc%2D6000%2D23d3%2De181c6c7f809&amp;cidOR=SPO&amp;FolderCTID=0x012000343DA3A6A8D883489805655EBF491CE6" TargetMode="External"/><Relationship Id="rId2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22/iOS?csf=1&amp;web=1&amp;e=uRAsfl" TargetMode="External"/><Relationship Id="rId11" Type="http://schemas.openxmlformats.org/officeDocument/2006/relationships/hyperlink" Target="https://trueomx.atlassian.net/browse/THL-641" TargetMode="External"/><Relationship Id="rId2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2/iOS?csf=1&amp;web=1&amp;e=24UHtS" TargetMode="External"/><Relationship Id="rId3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3/Android?csf=1&amp;web=1&amp;e=OOeD2f" TargetMode="External"/><Relationship Id="rId3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1/Android?csf=1&amp;web=1&amp;e=H16NHM" TargetMode="External"/><Relationship Id="rId4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21/Android?csf=1&amp;web=1&amp;e=rtMxbX" TargetMode="External"/><Relationship Id="rId4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9/Android?csf=1&amp;web=1&amp;e=RrBxfa" TargetMode="External"/><Relationship Id="rId5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9/iOS?csf=1&amp;web=1&amp;e=mUh8oT" TargetMode="External"/><Relationship Id="rId5" Type="http://schemas.openxmlformats.org/officeDocument/2006/relationships/hyperlink" Target="https://www.figma.com/design/yjyoAP0EMDXJST790SY49T/ONE006-ONE-APP---TOL?node-id=1-247085&amp;t=xVORj6t5haQUZtA7-4" TargetMode="External"/><Relationship Id="rId10" Type="http://schemas.openxmlformats.org/officeDocument/2006/relationships/hyperlink" Target="https://www.figma.com/design/yjyoAP0EMDXJST790SY49T/ONE006-ONE-APP---TOL?node-id=1-247161&amp;t=v0kjaOIPPf1w5QzE-4" TargetMode="External"/><Relationship Id="rId1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2/iOS?csf=1&amp;web=1&amp;e=rE9aDb" TargetMode="External"/><Relationship Id="rId3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2/Android?csf=1&amp;web=1&amp;e=H70qEE" TargetMode="External"/><Relationship Id="rId4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7/Android?csf=1&amp;web=1&amp;e=x8uUVt" TargetMode="External"/><Relationship Id="rId5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5/iOS?csf=1&amp;web=1&amp;e=QAjA0h" TargetMode="External"/><Relationship Id="rId4" Type="http://schemas.openxmlformats.org/officeDocument/2006/relationships/hyperlink" Target="https://www.figma.com/design/yjyoAP0EMDXJST790SY49T/ONE006-ONE-APP---TOL?node-id=1-246977&amp;t=v0kjaOIPPf1w5QzE-4" TargetMode="External"/><Relationship Id="rId9" Type="http://schemas.openxmlformats.org/officeDocument/2006/relationships/hyperlink" Target="https://trueomx.atlassian.net/browse/THL-635" TargetMode="External"/><Relationship Id="rId14" Type="http://schemas.openxmlformats.org/officeDocument/2006/relationships/hyperlink" Target="https://www.figma.com/design/yjyoAP0EMDXJST790SY49T/ONE006-ONE-APP---TOL?node-id=1-248440&amp;t=v0kjaOIPPf1w5QzE-4" TargetMode="External"/><Relationship Id="rId2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8/iOS?csf=1&amp;web=1&amp;e=3e47N3" TargetMode="External"/><Relationship Id="rId2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8/iOS?csf=1&amp;web=1&amp;e=4beLZ4" TargetMode="External"/><Relationship Id="rId3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1/Android?csf=1&amp;web=1&amp;e=1QounK" TargetMode="External"/><Relationship Id="rId3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8/Android?csf=1&amp;web=1&amp;e=Sk54Ps" TargetMode="External"/><Relationship Id="rId4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8/Android?csf=1&amp;web=1&amp;e=Ed1dnL" TargetMode="External"/><Relationship Id="rId4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3/iOS?csf=1&amp;web=1&amp;e=X5J7pe" TargetMode="External"/><Relationship Id="rId8" Type="http://schemas.openxmlformats.org/officeDocument/2006/relationships/hyperlink" Target="https://www.figma.com/design/yjyoAP0EMDXJST790SY49T/ONE006-ONE-APP---TOL?node-id=1-247481&amp;t=Y9GcLkn1ewewo452-4" TargetMode="External"/><Relationship Id="rId5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1/iOS?csf=1&amp;web=1&amp;e=TL8tcl" TargetMode="External"/><Relationship Id="rId3" Type="http://schemas.openxmlformats.org/officeDocument/2006/relationships/hyperlink" Target="https://www.figma.com/design/yjyoAP0EMDXJST790SY49T/ONE006-ONE-APP---TOL?node-id=1-247008&amp;t=xVORj6t5haQUZtA7-4" TargetMode="External"/><Relationship Id="rId12" Type="http://schemas.openxmlformats.org/officeDocument/2006/relationships/hyperlink" Target="https://www.figma.com/design/yjyoAP0EMDXJST790SY49T/ONE006-ONE-APP---TOL?node-id=1-247384&amp;t=sniq03Dy8wIJs7ml-4" TargetMode="External"/><Relationship Id="rId17" Type="http://schemas.openxmlformats.org/officeDocument/2006/relationships/hyperlink" Target="https://truecorp-my.sharepoint.com/personal/summata_cha_truecorp_co_th/_layouts/15/onedrive.aspx?id=%2Fpersonal%2Fsummata%5Fcha%5Ftruecorp%5Fco%5Fth%2FDocuments%2FOne%20app%20%2D%20TOL%202025%2FTest%20data%20and%20Test%20case%20QA%2FUAT%2FTOL%20new%20journey%20%2D%20Phase%201%20release%201%2FTest%20Result%2FResult%5FRegression%20Validate%20Screen&amp;viewid=4f0e0c11%2D7dc4%2D494e%2Db81f%2D5eeba374b354&amp;csf=1&amp;ovuser=6e01df19%2De8f8%2D4fac%2D93f4%2Dc9221cf2a4be%2Cwannapa%2Ethongkham%40outlook%2Ecom&amp;OR=Teams%2DHL&amp;CT=1762939764401&amp;clickparams=eyJBcHBOYW1lIjoiVGVhbXMtRGVza3RvcCIsIkFwcFZlcnNpb24iOiI0OS8yNTEwMTYxNjUxMSIsIkhhc0ZlZGVyYXRlZFVzZXIiOmZhbHNlfQ%3D%3D&amp;CID=2d99d8a1%2D80cc%2D6000%2D23d3%2De181c6c7f809&amp;cidOR=SPO&amp;FolderCTID=0x012000343DA3A6A8D883489805655EBF491CE6" TargetMode="External"/><Relationship Id="rId25" Type="http://schemas.openxmlformats.org/officeDocument/2006/relationships/hyperlink" Target="https://truecorp.sharepoint.com/:f:/s/TrueCorp-TrueDtacTH-TotalAccessCommunicationPlc-TechM-Workingarea/IgBQjQvQ2L5xQ44lp-d1-VAAAXJHzLPbIMcfpB0aiS050YM?e=aXID54" TargetMode="External"/><Relationship Id="rId3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4/Android?csf=1&amp;web=1&amp;e=aXwvjj" TargetMode="External"/><Relationship Id="rId3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5/Android?csf=1&amp;web=1&amp;e=zALfZv" TargetMode="External"/><Relationship Id="rId4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2/Android?csf=1&amp;web=1&amp;e=BJj977" TargetMode="External"/><Relationship Id="rId2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4/iOS?csf=1&amp;web=1&amp;e=UjPUSQ" TargetMode="External"/><Relationship Id="rId4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22/Android?csf=1&amp;web=1&amp;e=2fsUHN" TargetMode="External"/><Relationship Id="rId5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17/iOS?csf=1&amp;web=1&amp;e=uW6URX" TargetMode="External"/><Relationship Id="rId1" Type="http://schemas.openxmlformats.org/officeDocument/2006/relationships/hyperlink" Target="https://www.figma.com/design/yjyoAP0EMDXJST790SY49T/ONE006-ONE-APP---TOL?node-id=1-246938&amp;t=v0kjaOIPPf1w5QzE-4" TargetMode="External"/><Relationship Id="rId6" Type="http://schemas.openxmlformats.org/officeDocument/2006/relationships/hyperlink" Target="https://www.figma.com/design/yjyoAP0EMDXJST790SY49T/ONE006-ONE-APP---TOL?node-id=1-246977&amp;t=v0kjaOIPPf1w5QzE-4" TargetMode="External"/><Relationship Id="rId15" Type="http://schemas.openxmlformats.org/officeDocument/2006/relationships/hyperlink" Target="https://www.figma.com/design/yjyoAP0EMDXJST790SY49T/ONE006-ONE-APP---TOL?node-id=1-246938&amp;t=v0kjaOIPPf1w5QzE-4" TargetMode="External"/><Relationship Id="rId23" Type="http://schemas.openxmlformats.org/officeDocument/2006/relationships/hyperlink" Target="https://truecorp.sharepoint.com/:f:/s/TrueCorp-TrueDtacTH-TotalAccessCommunicationPlc-TechM-Workingarea/IgBQjQvQ2L5xQ44lp-d1-VAAAXJHzLPbIMcfpB0aiS050YM?e=aXID54" TargetMode="External"/><Relationship Id="rId2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20/iOS?csf=1&amp;web=1&amp;e=h4j34x" TargetMode="External"/><Relationship Id="rId3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9/Android?csf=1&amp;web=1&amp;e=yLdIfn" TargetMode="External"/><Relationship Id="rId4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1.%20Privilege/ON_PRI_VER_07/iOS?csf=1&amp;web=1&amp;e=jMW2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outlinePr summaryBelow="0" summaryRight="0"/>
  </sheetPr>
  <dimension ref="A1:AO1003"/>
  <sheetViews>
    <sheetView workbookViewId="0">
      <pane xSplit="5" ySplit="3" topLeftCell="F22" activePane="bottomRight" state="frozen"/>
      <selection pane="bottomRight" activeCell="B22" sqref="B22"/>
      <selection pane="bottomLeft" activeCell="A4" sqref="A4"/>
      <selection pane="topRight" activeCell="E1" sqref="E1"/>
    </sheetView>
  </sheetViews>
  <sheetFormatPr defaultColWidth="12.5703125" defaultRowHeight="15" customHeight="1"/>
  <cols>
    <col min="1" max="1" width="19.42578125" style="87" customWidth="1"/>
    <col min="2" max="2" width="10" style="2" customWidth="1"/>
    <col min="3" max="3" width="21" style="2" customWidth="1"/>
    <col min="4" max="4" width="37.7109375" style="2" customWidth="1"/>
    <col min="5" max="5" width="10.7109375" style="2" customWidth="1"/>
    <col min="6" max="6" width="19.28515625" style="2" customWidth="1"/>
    <col min="7" max="7" width="6.7109375" style="2" customWidth="1"/>
    <col min="8" max="9" width="7.140625" style="2" customWidth="1"/>
    <col min="10" max="10" width="6.85546875" style="2" customWidth="1"/>
    <col min="11" max="11" width="7.28515625" style="2" customWidth="1"/>
    <col min="12" max="12" width="3.7109375" style="2" customWidth="1"/>
    <col min="13" max="14" width="5.28515625" style="2" customWidth="1"/>
    <col min="15" max="19" width="5.85546875" style="2" customWidth="1"/>
    <col min="20" max="20" width="76.5703125" style="2" customWidth="1"/>
    <col min="21" max="21" width="68.85546875" style="2" customWidth="1"/>
    <col min="22" max="22" width="23.85546875" style="2" customWidth="1"/>
    <col min="23" max="23" width="24.140625" style="2" customWidth="1"/>
    <col min="24" max="25" width="12.5703125" style="2"/>
    <col min="26" max="26" width="30.42578125" style="2" customWidth="1"/>
    <col min="27" max="16384" width="12.5703125" style="2"/>
  </cols>
  <sheetData>
    <row r="1" spans="1:41" ht="38.25" customHeight="1">
      <c r="A1" s="106" t="s">
        <v>0</v>
      </c>
      <c r="B1" s="106" t="s">
        <v>1</v>
      </c>
      <c r="C1" s="106" t="s">
        <v>2</v>
      </c>
      <c r="D1" s="106" t="s">
        <v>3</v>
      </c>
      <c r="E1" s="105" t="s">
        <v>4</v>
      </c>
      <c r="F1" s="105" t="s">
        <v>5</v>
      </c>
      <c r="G1" s="110" t="s">
        <v>6</v>
      </c>
      <c r="H1" s="110"/>
      <c r="I1" s="110"/>
      <c r="J1" s="110" t="s">
        <v>7</v>
      </c>
      <c r="K1" s="110"/>
      <c r="L1" s="110" t="s">
        <v>8</v>
      </c>
      <c r="M1" s="110"/>
      <c r="N1" s="110"/>
      <c r="O1" s="110" t="s">
        <v>9</v>
      </c>
      <c r="P1" s="110"/>
      <c r="Q1" s="110"/>
      <c r="R1" s="110"/>
      <c r="S1" s="110"/>
      <c r="T1" s="113" t="s">
        <v>10</v>
      </c>
      <c r="U1" s="106" t="s">
        <v>11</v>
      </c>
      <c r="V1" s="106" t="s">
        <v>12</v>
      </c>
      <c r="W1" s="106" t="s">
        <v>13</v>
      </c>
      <c r="X1" s="117" t="s">
        <v>14</v>
      </c>
      <c r="Y1" s="117" t="s">
        <v>15</v>
      </c>
      <c r="Z1" s="106" t="s">
        <v>16</v>
      </c>
      <c r="AA1" s="106" t="s">
        <v>17</v>
      </c>
      <c r="AB1" s="11"/>
      <c r="AC1" s="11"/>
      <c r="AD1" s="11"/>
      <c r="AE1" s="11"/>
      <c r="AF1" s="11"/>
      <c r="AG1" s="11"/>
      <c r="AH1" s="11"/>
      <c r="AI1" s="11"/>
      <c r="AJ1" s="11"/>
      <c r="AK1" s="11"/>
      <c r="AL1" s="11"/>
      <c r="AM1" s="11"/>
      <c r="AN1" s="11"/>
      <c r="AO1" s="11"/>
    </row>
    <row r="2" spans="1:41" ht="21.75" customHeight="1">
      <c r="A2" s="106"/>
      <c r="B2" s="106"/>
      <c r="C2" s="106"/>
      <c r="D2" s="106"/>
      <c r="E2" s="105"/>
      <c r="F2" s="105"/>
      <c r="G2" s="114" t="s">
        <v>18</v>
      </c>
      <c r="H2" s="115" t="s">
        <v>19</v>
      </c>
      <c r="I2" s="116" t="s">
        <v>20</v>
      </c>
      <c r="J2" s="114" t="s">
        <v>21</v>
      </c>
      <c r="K2" s="116" t="s">
        <v>22</v>
      </c>
      <c r="L2" s="114" t="s">
        <v>23</v>
      </c>
      <c r="M2" s="120" t="s">
        <v>24</v>
      </c>
      <c r="N2" s="120"/>
      <c r="O2" s="114" t="s">
        <v>25</v>
      </c>
      <c r="P2" s="123" t="s">
        <v>26</v>
      </c>
      <c r="Q2" s="115" t="s">
        <v>27</v>
      </c>
      <c r="R2" s="115" t="s">
        <v>28</v>
      </c>
      <c r="S2" s="116" t="s">
        <v>29</v>
      </c>
      <c r="T2" s="113"/>
      <c r="U2" s="106"/>
      <c r="V2" s="106"/>
      <c r="W2" s="106"/>
      <c r="X2" s="117"/>
      <c r="Y2" s="117"/>
      <c r="Z2" s="106"/>
      <c r="AA2" s="106"/>
      <c r="AB2" s="11"/>
      <c r="AC2" s="11"/>
      <c r="AD2" s="11"/>
      <c r="AE2" s="11"/>
      <c r="AF2" s="11"/>
      <c r="AG2" s="11"/>
      <c r="AH2" s="11"/>
      <c r="AI2" s="11"/>
      <c r="AJ2" s="11"/>
      <c r="AK2" s="11"/>
      <c r="AL2" s="11"/>
      <c r="AM2" s="11"/>
      <c r="AN2" s="11"/>
      <c r="AO2" s="11"/>
    </row>
    <row r="3" spans="1:41" ht="39" customHeight="1">
      <c r="A3" s="106"/>
      <c r="B3" s="106"/>
      <c r="C3" s="106"/>
      <c r="D3" s="106"/>
      <c r="E3" s="105"/>
      <c r="F3" s="105"/>
      <c r="G3" s="114"/>
      <c r="H3" s="115"/>
      <c r="I3" s="116"/>
      <c r="J3" s="114"/>
      <c r="K3" s="116"/>
      <c r="L3" s="114"/>
      <c r="M3" s="12" t="b">
        <v>1</v>
      </c>
      <c r="N3" s="13" t="s">
        <v>30</v>
      </c>
      <c r="O3" s="114"/>
      <c r="P3" s="123"/>
      <c r="Q3" s="115"/>
      <c r="R3" s="115"/>
      <c r="S3" s="116"/>
      <c r="T3" s="113"/>
      <c r="U3" s="106"/>
      <c r="V3" s="106"/>
      <c r="W3" s="106"/>
      <c r="X3" s="117"/>
      <c r="Y3" s="117"/>
      <c r="Z3" s="106"/>
      <c r="AA3" s="106"/>
      <c r="AB3" s="11"/>
      <c r="AC3" s="11"/>
      <c r="AD3" s="11"/>
      <c r="AE3" s="11"/>
      <c r="AF3" s="11"/>
      <c r="AG3" s="11"/>
      <c r="AH3" s="11"/>
      <c r="AI3" s="11"/>
      <c r="AJ3" s="11"/>
      <c r="AK3" s="11"/>
      <c r="AL3" s="11"/>
      <c r="AM3" s="11"/>
      <c r="AN3" s="11"/>
      <c r="AO3" s="11"/>
    </row>
    <row r="4" spans="1:41" ht="93.75" customHeight="1">
      <c r="A4" s="14" t="s">
        <v>31</v>
      </c>
      <c r="B4" s="14" t="s">
        <v>9</v>
      </c>
      <c r="C4" s="15" t="s">
        <v>32</v>
      </c>
      <c r="D4" s="16" t="s">
        <v>33</v>
      </c>
      <c r="E4" s="17" t="s">
        <v>34</v>
      </c>
      <c r="F4" s="17" t="s">
        <v>35</v>
      </c>
      <c r="G4" s="18" t="s">
        <v>36</v>
      </c>
      <c r="H4" s="19"/>
      <c r="I4" s="20"/>
      <c r="J4" s="21"/>
      <c r="K4" s="22"/>
      <c r="L4" s="23"/>
      <c r="M4" s="24" t="s">
        <v>36</v>
      </c>
      <c r="N4" s="25" t="s">
        <v>36</v>
      </c>
      <c r="O4" s="21"/>
      <c r="P4" s="26"/>
      <c r="Q4" s="26"/>
      <c r="R4" s="26"/>
      <c r="S4" s="22"/>
      <c r="T4" s="27" t="s">
        <v>37</v>
      </c>
      <c r="U4" s="28" t="s">
        <v>38</v>
      </c>
      <c r="V4" s="29" t="s">
        <v>39</v>
      </c>
      <c r="W4" s="29"/>
      <c r="X4" s="9" t="s">
        <v>40</v>
      </c>
      <c r="Y4" s="9" t="s">
        <v>40</v>
      </c>
      <c r="Z4" s="16" t="s">
        <v>41</v>
      </c>
      <c r="AA4" s="15"/>
      <c r="AB4" s="30"/>
      <c r="AC4" s="30"/>
      <c r="AD4" s="30"/>
      <c r="AE4" s="30"/>
      <c r="AF4" s="30"/>
      <c r="AG4" s="30"/>
      <c r="AH4" s="30"/>
      <c r="AI4" s="30"/>
      <c r="AJ4" s="30"/>
      <c r="AK4" s="30"/>
      <c r="AL4" s="30"/>
      <c r="AM4" s="30"/>
      <c r="AN4" s="30"/>
      <c r="AO4" s="30"/>
    </row>
    <row r="5" spans="1:41" ht="264" customHeight="1">
      <c r="A5" s="14" t="s">
        <v>31</v>
      </c>
      <c r="B5" s="14" t="s">
        <v>9</v>
      </c>
      <c r="C5" s="15" t="s">
        <v>42</v>
      </c>
      <c r="D5" s="16" t="s">
        <v>43</v>
      </c>
      <c r="E5" s="17" t="s">
        <v>34</v>
      </c>
      <c r="F5" s="17" t="s">
        <v>35</v>
      </c>
      <c r="G5" s="31" t="s">
        <v>36</v>
      </c>
      <c r="H5" s="32"/>
      <c r="I5" s="33"/>
      <c r="J5" s="34"/>
      <c r="K5" s="35"/>
      <c r="L5" s="31" t="s">
        <v>36</v>
      </c>
      <c r="M5" s="14"/>
      <c r="N5" s="36"/>
      <c r="O5" s="34"/>
      <c r="P5" s="37"/>
      <c r="Q5" s="37"/>
      <c r="R5" s="37"/>
      <c r="S5" s="35"/>
      <c r="T5" s="27" t="s">
        <v>44</v>
      </c>
      <c r="U5" s="28" t="s">
        <v>45</v>
      </c>
      <c r="V5" s="29" t="s">
        <v>39</v>
      </c>
      <c r="W5" s="29"/>
      <c r="X5" s="9" t="s">
        <v>40</v>
      </c>
      <c r="Y5" s="9" t="s">
        <v>40</v>
      </c>
      <c r="Z5" s="16"/>
      <c r="AA5" s="15"/>
      <c r="AB5" s="30"/>
      <c r="AC5" s="30"/>
      <c r="AD5" s="30"/>
      <c r="AE5" s="30"/>
      <c r="AF5" s="30"/>
      <c r="AG5" s="30"/>
      <c r="AH5" s="30"/>
      <c r="AI5" s="30"/>
      <c r="AJ5" s="30"/>
      <c r="AK5" s="30"/>
      <c r="AL5" s="30"/>
      <c r="AM5" s="30"/>
      <c r="AN5" s="30"/>
      <c r="AO5" s="30"/>
    </row>
    <row r="6" spans="1:41" ht="310.5" customHeight="1">
      <c r="A6" s="14" t="s">
        <v>31</v>
      </c>
      <c r="B6" s="14" t="s">
        <v>9</v>
      </c>
      <c r="C6" s="15" t="s">
        <v>46</v>
      </c>
      <c r="D6" s="16" t="s">
        <v>47</v>
      </c>
      <c r="E6" s="17" t="s">
        <v>34</v>
      </c>
      <c r="F6" s="17" t="s">
        <v>35</v>
      </c>
      <c r="G6" s="31"/>
      <c r="H6" s="14" t="s">
        <v>36</v>
      </c>
      <c r="I6" s="36"/>
      <c r="J6" s="34"/>
      <c r="K6" s="35"/>
      <c r="L6" s="38"/>
      <c r="M6" s="14" t="s">
        <v>36</v>
      </c>
      <c r="N6" s="36" t="s">
        <v>36</v>
      </c>
      <c r="O6" s="34"/>
      <c r="P6" s="37"/>
      <c r="Q6" s="37"/>
      <c r="R6" s="37"/>
      <c r="S6" s="35"/>
      <c r="T6" s="27" t="s">
        <v>37</v>
      </c>
      <c r="U6" s="28" t="s">
        <v>48</v>
      </c>
      <c r="V6" s="29" t="s">
        <v>39</v>
      </c>
      <c r="W6" s="29"/>
      <c r="X6" s="9" t="s">
        <v>40</v>
      </c>
      <c r="Y6" s="9" t="s">
        <v>40</v>
      </c>
      <c r="Z6" s="16" t="s">
        <v>41</v>
      </c>
      <c r="AA6" s="15"/>
      <c r="AB6" s="30"/>
      <c r="AC6" s="30"/>
      <c r="AD6" s="30"/>
      <c r="AE6" s="30"/>
      <c r="AF6" s="30"/>
      <c r="AG6" s="30"/>
      <c r="AH6" s="30"/>
      <c r="AI6" s="30"/>
      <c r="AJ6" s="30"/>
      <c r="AK6" s="30"/>
      <c r="AL6" s="30"/>
      <c r="AM6" s="30"/>
      <c r="AN6" s="30"/>
      <c r="AO6" s="30"/>
    </row>
    <row r="7" spans="1:41" ht="264" customHeight="1">
      <c r="A7" s="14" t="s">
        <v>31</v>
      </c>
      <c r="B7" s="14" t="s">
        <v>9</v>
      </c>
      <c r="C7" s="15" t="s">
        <v>49</v>
      </c>
      <c r="D7" s="16" t="s">
        <v>50</v>
      </c>
      <c r="E7" s="17" t="s">
        <v>34</v>
      </c>
      <c r="F7" s="17" t="s">
        <v>35</v>
      </c>
      <c r="G7" s="31"/>
      <c r="H7" s="14" t="s">
        <v>36</v>
      </c>
      <c r="I7" s="36"/>
      <c r="J7" s="34"/>
      <c r="K7" s="35"/>
      <c r="L7" s="31" t="s">
        <v>36</v>
      </c>
      <c r="M7" s="14"/>
      <c r="N7" s="36"/>
      <c r="O7" s="34"/>
      <c r="P7" s="37"/>
      <c r="Q7" s="37"/>
      <c r="R7" s="37"/>
      <c r="S7" s="35"/>
      <c r="T7" s="27" t="s">
        <v>44</v>
      </c>
      <c r="U7" s="28" t="s">
        <v>51</v>
      </c>
      <c r="V7" s="29" t="s">
        <v>39</v>
      </c>
      <c r="W7" s="29"/>
      <c r="X7" s="9" t="s">
        <v>40</v>
      </c>
      <c r="Y7" s="9" t="s">
        <v>40</v>
      </c>
      <c r="Z7" s="16" t="s">
        <v>52</v>
      </c>
      <c r="AA7" s="15"/>
      <c r="AB7" s="30"/>
      <c r="AC7" s="30"/>
      <c r="AD7" s="30"/>
      <c r="AE7" s="30"/>
      <c r="AF7" s="30"/>
      <c r="AG7" s="30"/>
      <c r="AH7" s="30"/>
      <c r="AI7" s="30"/>
      <c r="AJ7" s="30"/>
      <c r="AK7" s="30"/>
      <c r="AL7" s="30"/>
      <c r="AM7" s="30"/>
      <c r="AN7" s="30"/>
      <c r="AO7" s="30"/>
    </row>
    <row r="8" spans="1:41" ht="309.75" customHeight="1">
      <c r="A8" s="14" t="s">
        <v>31</v>
      </c>
      <c r="B8" s="14" t="s">
        <v>9</v>
      </c>
      <c r="C8" s="15" t="s">
        <v>53</v>
      </c>
      <c r="D8" s="16" t="s">
        <v>54</v>
      </c>
      <c r="E8" s="17" t="s">
        <v>34</v>
      </c>
      <c r="F8" s="17" t="s">
        <v>35</v>
      </c>
      <c r="G8" s="31"/>
      <c r="H8" s="32"/>
      <c r="I8" s="36" t="s">
        <v>36</v>
      </c>
      <c r="J8" s="34"/>
      <c r="K8" s="35"/>
      <c r="L8" s="38"/>
      <c r="M8" s="14" t="s">
        <v>36</v>
      </c>
      <c r="N8" s="36" t="s">
        <v>36</v>
      </c>
      <c r="O8" s="34"/>
      <c r="P8" s="37"/>
      <c r="Q8" s="37"/>
      <c r="R8" s="37"/>
      <c r="S8" s="35"/>
      <c r="T8" s="27" t="s">
        <v>37</v>
      </c>
      <c r="U8" s="28" t="s">
        <v>55</v>
      </c>
      <c r="V8" s="29" t="s">
        <v>39</v>
      </c>
      <c r="W8" s="29"/>
      <c r="X8" s="9" t="s">
        <v>40</v>
      </c>
      <c r="Y8" s="9" t="s">
        <v>40</v>
      </c>
      <c r="Z8" s="16" t="s">
        <v>56</v>
      </c>
      <c r="AA8" s="15"/>
      <c r="AB8" s="30"/>
      <c r="AC8" s="30"/>
      <c r="AD8" s="30"/>
      <c r="AE8" s="30"/>
      <c r="AF8" s="30"/>
      <c r="AG8" s="30"/>
      <c r="AH8" s="30"/>
      <c r="AI8" s="30"/>
      <c r="AJ8" s="30"/>
      <c r="AK8" s="30"/>
      <c r="AL8" s="30"/>
      <c r="AM8" s="30"/>
      <c r="AN8" s="30"/>
      <c r="AO8" s="30"/>
    </row>
    <row r="9" spans="1:41" ht="80.25" customHeight="1">
      <c r="A9" s="14" t="s">
        <v>31</v>
      </c>
      <c r="B9" s="14" t="s">
        <v>9</v>
      </c>
      <c r="C9" s="15" t="s">
        <v>57</v>
      </c>
      <c r="D9" s="16" t="s">
        <v>58</v>
      </c>
      <c r="E9" s="17" t="s">
        <v>34</v>
      </c>
      <c r="F9" s="17" t="s">
        <v>35</v>
      </c>
      <c r="G9" s="31"/>
      <c r="H9" s="32"/>
      <c r="I9" s="36" t="s">
        <v>36</v>
      </c>
      <c r="J9" s="34"/>
      <c r="K9" s="35"/>
      <c r="L9" s="31" t="s">
        <v>36</v>
      </c>
      <c r="M9" s="14"/>
      <c r="N9" s="36"/>
      <c r="O9" s="34"/>
      <c r="P9" s="37"/>
      <c r="Q9" s="37"/>
      <c r="R9" s="37"/>
      <c r="S9" s="35"/>
      <c r="T9" s="27" t="s">
        <v>44</v>
      </c>
      <c r="U9" s="28" t="s">
        <v>59</v>
      </c>
      <c r="V9" s="29" t="s">
        <v>39</v>
      </c>
      <c r="W9" s="29"/>
      <c r="X9" s="9" t="s">
        <v>40</v>
      </c>
      <c r="Y9" s="9" t="s">
        <v>40</v>
      </c>
      <c r="Z9" s="16" t="s">
        <v>60</v>
      </c>
      <c r="AA9" s="15"/>
      <c r="AB9" s="30"/>
      <c r="AC9" s="30"/>
      <c r="AD9" s="30"/>
      <c r="AE9" s="30"/>
      <c r="AF9" s="30"/>
      <c r="AG9" s="30"/>
      <c r="AH9" s="30"/>
      <c r="AI9" s="30"/>
      <c r="AJ9" s="30"/>
      <c r="AK9" s="30"/>
      <c r="AL9" s="30"/>
      <c r="AM9" s="30"/>
      <c r="AN9" s="30"/>
      <c r="AO9" s="30"/>
    </row>
    <row r="10" spans="1:41" ht="306.75" customHeight="1">
      <c r="A10" s="14" t="s">
        <v>31</v>
      </c>
      <c r="B10" s="14" t="s">
        <v>9</v>
      </c>
      <c r="C10" s="15" t="s">
        <v>61</v>
      </c>
      <c r="D10" s="16" t="s">
        <v>62</v>
      </c>
      <c r="E10" s="39" t="s">
        <v>63</v>
      </c>
      <c r="F10" s="17" t="s">
        <v>35</v>
      </c>
      <c r="G10" s="31"/>
      <c r="H10" s="32"/>
      <c r="I10" s="36"/>
      <c r="J10" s="34"/>
      <c r="K10" s="35"/>
      <c r="L10" s="31"/>
      <c r="M10" s="14"/>
      <c r="N10" s="36"/>
      <c r="O10" s="34"/>
      <c r="P10" s="37"/>
      <c r="Q10" s="37"/>
      <c r="R10" s="37"/>
      <c r="S10" s="35"/>
      <c r="T10" s="27" t="s">
        <v>37</v>
      </c>
      <c r="U10" s="40" t="s">
        <v>64</v>
      </c>
      <c r="V10" s="29" t="s">
        <v>39</v>
      </c>
      <c r="W10" s="29"/>
      <c r="X10" s="9" t="s">
        <v>40</v>
      </c>
      <c r="Y10" s="9" t="s">
        <v>40</v>
      </c>
      <c r="Z10" s="16"/>
      <c r="AA10" s="15"/>
      <c r="AB10" s="30"/>
      <c r="AC10" s="30"/>
      <c r="AD10" s="30"/>
      <c r="AE10" s="30"/>
      <c r="AF10" s="30"/>
      <c r="AG10" s="30"/>
      <c r="AH10" s="30"/>
      <c r="AI10" s="30"/>
      <c r="AJ10" s="30"/>
      <c r="AK10" s="30"/>
      <c r="AL10" s="30"/>
      <c r="AM10" s="30"/>
      <c r="AN10" s="30"/>
      <c r="AO10" s="30"/>
    </row>
    <row r="11" spans="1:41" ht="306.75" customHeight="1">
      <c r="A11" s="14" t="s">
        <v>31</v>
      </c>
      <c r="B11" s="14" t="s">
        <v>9</v>
      </c>
      <c r="C11" s="15" t="s">
        <v>65</v>
      </c>
      <c r="D11" s="16" t="s">
        <v>66</v>
      </c>
      <c r="E11" s="39" t="s">
        <v>63</v>
      </c>
      <c r="F11" s="17" t="s">
        <v>35</v>
      </c>
      <c r="G11" s="31"/>
      <c r="H11" s="32"/>
      <c r="I11" s="36"/>
      <c r="J11" s="34"/>
      <c r="K11" s="35"/>
      <c r="L11" s="31"/>
      <c r="M11" s="14"/>
      <c r="N11" s="36"/>
      <c r="O11" s="34"/>
      <c r="P11" s="37"/>
      <c r="Q11" s="37"/>
      <c r="R11" s="37"/>
      <c r="S11" s="35"/>
      <c r="T11" s="27" t="s">
        <v>37</v>
      </c>
      <c r="U11" s="40" t="s">
        <v>67</v>
      </c>
      <c r="V11" s="29" t="s">
        <v>39</v>
      </c>
      <c r="W11" s="29"/>
      <c r="X11" s="9" t="s">
        <v>40</v>
      </c>
      <c r="Y11" s="9" t="s">
        <v>40</v>
      </c>
      <c r="Z11" s="16"/>
      <c r="AA11" s="15"/>
      <c r="AB11" s="30"/>
      <c r="AC11" s="30"/>
      <c r="AD11" s="30"/>
      <c r="AE11" s="30"/>
      <c r="AF11" s="30"/>
      <c r="AG11" s="30"/>
      <c r="AH11" s="30"/>
      <c r="AI11" s="30"/>
      <c r="AJ11" s="30"/>
      <c r="AK11" s="30"/>
      <c r="AL11" s="30"/>
      <c r="AM11" s="30"/>
      <c r="AN11" s="30"/>
      <c r="AO11" s="30"/>
    </row>
    <row r="12" spans="1:41" ht="279.75" customHeight="1">
      <c r="A12" s="14" t="s">
        <v>31</v>
      </c>
      <c r="B12" s="14" t="s">
        <v>9</v>
      </c>
      <c r="C12" s="15" t="s">
        <v>68</v>
      </c>
      <c r="D12" s="41" t="s">
        <v>69</v>
      </c>
      <c r="E12" s="17" t="s">
        <v>34</v>
      </c>
      <c r="F12" s="17" t="s">
        <v>35</v>
      </c>
      <c r="G12" s="38"/>
      <c r="H12" s="32" t="s">
        <v>36</v>
      </c>
      <c r="I12" s="33"/>
      <c r="J12" s="34"/>
      <c r="K12" s="35"/>
      <c r="L12" s="34"/>
      <c r="M12" s="37"/>
      <c r="N12" s="35"/>
      <c r="O12" s="38" t="s">
        <v>36</v>
      </c>
      <c r="P12" s="37"/>
      <c r="Q12" s="14"/>
      <c r="R12" s="14"/>
      <c r="S12" s="36"/>
      <c r="T12" s="27" t="s">
        <v>70</v>
      </c>
      <c r="U12" s="42" t="s">
        <v>71</v>
      </c>
      <c r="V12" s="29" t="s">
        <v>39</v>
      </c>
      <c r="W12" s="29"/>
      <c r="X12" s="9" t="s">
        <v>40</v>
      </c>
      <c r="Y12" s="9" t="s">
        <v>40</v>
      </c>
      <c r="Z12" s="16"/>
      <c r="AA12" s="15"/>
      <c r="AB12" s="30"/>
      <c r="AC12" s="30"/>
      <c r="AD12" s="30"/>
      <c r="AE12" s="30"/>
      <c r="AF12" s="30"/>
      <c r="AG12" s="30"/>
      <c r="AH12" s="30"/>
      <c r="AI12" s="30"/>
      <c r="AJ12" s="30"/>
      <c r="AK12" s="30"/>
      <c r="AL12" s="30"/>
      <c r="AM12" s="30"/>
      <c r="AN12" s="30"/>
      <c r="AO12" s="30"/>
    </row>
    <row r="13" spans="1:41" ht="279.75" customHeight="1">
      <c r="A13" s="14" t="s">
        <v>31</v>
      </c>
      <c r="B13" s="14" t="s">
        <v>9</v>
      </c>
      <c r="C13" s="15" t="s">
        <v>72</v>
      </c>
      <c r="D13" s="41" t="s">
        <v>73</v>
      </c>
      <c r="E13" s="39" t="s">
        <v>63</v>
      </c>
      <c r="F13" s="17" t="s">
        <v>35</v>
      </c>
      <c r="G13" s="38"/>
      <c r="H13" s="32" t="s">
        <v>36</v>
      </c>
      <c r="I13" s="33"/>
      <c r="J13" s="34"/>
      <c r="K13" s="35"/>
      <c r="L13" s="34"/>
      <c r="M13" s="37"/>
      <c r="N13" s="35"/>
      <c r="O13" s="38" t="s">
        <v>36</v>
      </c>
      <c r="P13" s="37"/>
      <c r="Q13" s="14"/>
      <c r="R13" s="14"/>
      <c r="S13" s="36"/>
      <c r="T13" s="27" t="s">
        <v>70</v>
      </c>
      <c r="U13" s="28" t="s">
        <v>74</v>
      </c>
      <c r="V13" s="29" t="s">
        <v>39</v>
      </c>
      <c r="W13" s="29"/>
      <c r="X13" s="9" t="s">
        <v>40</v>
      </c>
      <c r="Y13" s="9" t="s">
        <v>40</v>
      </c>
      <c r="Z13" s="16" t="s">
        <v>75</v>
      </c>
      <c r="AA13" s="15"/>
      <c r="AB13" s="30"/>
      <c r="AC13" s="30"/>
      <c r="AD13" s="30"/>
      <c r="AE13" s="30"/>
      <c r="AF13" s="30"/>
      <c r="AG13" s="30"/>
      <c r="AH13" s="30"/>
      <c r="AI13" s="30"/>
      <c r="AJ13" s="30"/>
      <c r="AK13" s="30"/>
      <c r="AL13" s="30"/>
      <c r="AM13" s="30"/>
      <c r="AN13" s="30"/>
      <c r="AO13" s="30"/>
    </row>
    <row r="14" spans="1:41" ht="318.75" customHeight="1">
      <c r="A14" s="14" t="s">
        <v>31</v>
      </c>
      <c r="B14" s="14" t="s">
        <v>9</v>
      </c>
      <c r="C14" s="15" t="s">
        <v>76</v>
      </c>
      <c r="D14" s="43" t="s">
        <v>77</v>
      </c>
      <c r="E14" s="17" t="s">
        <v>34</v>
      </c>
      <c r="F14" s="17" t="s">
        <v>35</v>
      </c>
      <c r="G14" s="31"/>
      <c r="H14" s="32" t="s">
        <v>36</v>
      </c>
      <c r="I14" s="33"/>
      <c r="J14" s="31" t="s">
        <v>36</v>
      </c>
      <c r="K14" s="36"/>
      <c r="L14" s="34"/>
      <c r="M14" s="14" t="s">
        <v>36</v>
      </c>
      <c r="N14" s="36"/>
      <c r="O14" s="38"/>
      <c r="P14" s="37"/>
      <c r="Q14" s="14" t="s">
        <v>36</v>
      </c>
      <c r="R14" s="14"/>
      <c r="S14" s="36"/>
      <c r="T14" s="27" t="s">
        <v>78</v>
      </c>
      <c r="U14" s="28" t="s">
        <v>79</v>
      </c>
      <c r="V14" s="29" t="s">
        <v>39</v>
      </c>
      <c r="W14" s="29"/>
      <c r="X14" s="9" t="s">
        <v>40</v>
      </c>
      <c r="Y14" s="9" t="s">
        <v>40</v>
      </c>
      <c r="Z14" s="44" t="s">
        <v>80</v>
      </c>
      <c r="AA14" s="15"/>
      <c r="AB14" s="30"/>
      <c r="AC14" s="30"/>
      <c r="AD14" s="30"/>
      <c r="AE14" s="30"/>
      <c r="AF14" s="30"/>
      <c r="AG14" s="30"/>
      <c r="AH14" s="30"/>
      <c r="AI14" s="30"/>
      <c r="AJ14" s="30"/>
      <c r="AK14" s="30"/>
      <c r="AL14" s="30"/>
      <c r="AM14" s="30"/>
      <c r="AN14" s="30"/>
      <c r="AO14" s="30"/>
    </row>
    <row r="15" spans="1:41" ht="318.75" customHeight="1">
      <c r="A15" s="14" t="s">
        <v>31</v>
      </c>
      <c r="B15" s="14" t="s">
        <v>9</v>
      </c>
      <c r="C15" s="15" t="s">
        <v>81</v>
      </c>
      <c r="D15" s="43" t="s">
        <v>82</v>
      </c>
      <c r="E15" s="45" t="s">
        <v>34</v>
      </c>
      <c r="F15" s="17" t="s">
        <v>35</v>
      </c>
      <c r="G15" s="31"/>
      <c r="H15" s="32" t="s">
        <v>36</v>
      </c>
      <c r="I15" s="33"/>
      <c r="J15" s="31" t="s">
        <v>36</v>
      </c>
      <c r="K15" s="36"/>
      <c r="L15" s="34"/>
      <c r="M15" s="14" t="s">
        <v>36</v>
      </c>
      <c r="N15" s="36"/>
      <c r="O15" s="38"/>
      <c r="P15" s="37"/>
      <c r="Q15" s="14" t="s">
        <v>36</v>
      </c>
      <c r="R15" s="14"/>
      <c r="S15" s="36"/>
      <c r="T15" s="27" t="s">
        <v>78</v>
      </c>
      <c r="U15" s="28" t="s">
        <v>83</v>
      </c>
      <c r="V15" s="29" t="s">
        <v>39</v>
      </c>
      <c r="W15" s="29"/>
      <c r="X15" s="9" t="s">
        <v>40</v>
      </c>
      <c r="Y15" s="9" t="s">
        <v>40</v>
      </c>
      <c r="Z15" s="46" t="s">
        <v>84</v>
      </c>
      <c r="AA15" s="15"/>
    </row>
    <row r="16" spans="1:41" ht="318.75" customHeight="1">
      <c r="A16" s="14" t="s">
        <v>31</v>
      </c>
      <c r="B16" s="14" t="s">
        <v>9</v>
      </c>
      <c r="C16" s="15" t="s">
        <v>85</v>
      </c>
      <c r="D16" s="43" t="s">
        <v>86</v>
      </c>
      <c r="E16" s="17" t="s">
        <v>34</v>
      </c>
      <c r="F16" s="17" t="s">
        <v>35</v>
      </c>
      <c r="G16" s="31"/>
      <c r="H16" s="32"/>
      <c r="I16" s="33"/>
      <c r="J16" s="31"/>
      <c r="K16" s="36"/>
      <c r="L16" s="34"/>
      <c r="M16" s="14"/>
      <c r="N16" s="36"/>
      <c r="O16" s="38"/>
      <c r="P16" s="37"/>
      <c r="Q16" s="14"/>
      <c r="R16" s="14"/>
      <c r="S16" s="36"/>
      <c r="T16" s="27" t="s">
        <v>87</v>
      </c>
      <c r="U16" s="28" t="s">
        <v>88</v>
      </c>
      <c r="V16" s="29" t="s">
        <v>39</v>
      </c>
      <c r="W16" s="29"/>
      <c r="X16" s="9" t="s">
        <v>40</v>
      </c>
      <c r="Y16" s="9" t="s">
        <v>40</v>
      </c>
      <c r="Z16" s="46" t="s">
        <v>84</v>
      </c>
      <c r="AA16" s="15"/>
    </row>
    <row r="17" spans="1:41" ht="322.5" customHeight="1">
      <c r="A17" s="14" t="s">
        <v>31</v>
      </c>
      <c r="B17" s="14" t="s">
        <v>9</v>
      </c>
      <c r="C17" s="15" t="s">
        <v>89</v>
      </c>
      <c r="D17" s="43" t="s">
        <v>90</v>
      </c>
      <c r="E17" s="45" t="s">
        <v>34</v>
      </c>
      <c r="F17" s="17" t="s">
        <v>35</v>
      </c>
      <c r="G17" s="31"/>
      <c r="H17" s="32"/>
      <c r="I17" s="33"/>
      <c r="J17" s="31"/>
      <c r="K17" s="36"/>
      <c r="L17" s="34"/>
      <c r="M17" s="14"/>
      <c r="N17" s="36"/>
      <c r="O17" s="38"/>
      <c r="P17" s="37"/>
      <c r="Q17" s="14"/>
      <c r="R17" s="14"/>
      <c r="S17" s="36"/>
      <c r="T17" s="27" t="s">
        <v>91</v>
      </c>
      <c r="U17" s="28" t="s">
        <v>92</v>
      </c>
      <c r="V17" s="29" t="s">
        <v>39</v>
      </c>
      <c r="W17" s="29"/>
      <c r="X17" s="9" t="s">
        <v>40</v>
      </c>
      <c r="Y17" s="9" t="s">
        <v>40</v>
      </c>
      <c r="Z17" s="46" t="s">
        <v>84</v>
      </c>
      <c r="AA17" s="15"/>
    </row>
    <row r="18" spans="1:41" ht="322.5" customHeight="1">
      <c r="A18" s="14" t="s">
        <v>31</v>
      </c>
      <c r="B18" s="14" t="s">
        <v>9</v>
      </c>
      <c r="C18" s="15" t="s">
        <v>93</v>
      </c>
      <c r="D18" s="47" t="s">
        <v>94</v>
      </c>
      <c r="E18" s="17" t="s">
        <v>34</v>
      </c>
      <c r="F18" s="17" t="s">
        <v>35</v>
      </c>
      <c r="G18" s="31"/>
      <c r="H18" s="32"/>
      <c r="I18" s="33" t="s">
        <v>36</v>
      </c>
      <c r="J18" s="31" t="s">
        <v>36</v>
      </c>
      <c r="K18" s="36"/>
      <c r="L18" s="34"/>
      <c r="M18" s="14"/>
      <c r="N18" s="36" t="s">
        <v>36</v>
      </c>
      <c r="O18" s="38"/>
      <c r="P18" s="37"/>
      <c r="Q18" s="14" t="s">
        <v>36</v>
      </c>
      <c r="R18" s="14"/>
      <c r="S18" s="36"/>
      <c r="T18" s="27" t="s">
        <v>95</v>
      </c>
      <c r="U18" s="28" t="s">
        <v>96</v>
      </c>
      <c r="V18" s="29" t="s">
        <v>39</v>
      </c>
      <c r="W18" s="29"/>
      <c r="X18" s="9" t="s">
        <v>40</v>
      </c>
      <c r="Y18" s="9" t="s">
        <v>40</v>
      </c>
      <c r="Z18" s="16" t="s">
        <v>97</v>
      </c>
      <c r="AA18" s="15"/>
      <c r="AB18" s="30"/>
      <c r="AC18" s="30"/>
      <c r="AD18" s="30"/>
      <c r="AE18" s="30"/>
      <c r="AF18" s="30"/>
      <c r="AG18" s="30"/>
      <c r="AH18" s="30"/>
      <c r="AI18" s="30"/>
      <c r="AJ18" s="30"/>
      <c r="AK18" s="30"/>
      <c r="AL18" s="30"/>
      <c r="AM18" s="30"/>
      <c r="AN18" s="30"/>
      <c r="AO18" s="30"/>
    </row>
    <row r="19" spans="1:41" ht="322.5" customHeight="1">
      <c r="A19" s="14" t="s">
        <v>31</v>
      </c>
      <c r="B19" s="14" t="s">
        <v>9</v>
      </c>
      <c r="C19" s="15" t="s">
        <v>98</v>
      </c>
      <c r="D19" s="47" t="s">
        <v>99</v>
      </c>
      <c r="E19" s="17" t="s">
        <v>34</v>
      </c>
      <c r="F19" s="17" t="s">
        <v>35</v>
      </c>
      <c r="G19" s="31"/>
      <c r="H19" s="32"/>
      <c r="I19" s="33" t="s">
        <v>36</v>
      </c>
      <c r="J19" s="31" t="s">
        <v>36</v>
      </c>
      <c r="K19" s="36"/>
      <c r="L19" s="34"/>
      <c r="M19" s="14"/>
      <c r="N19" s="36" t="s">
        <v>36</v>
      </c>
      <c r="O19" s="38"/>
      <c r="P19" s="37"/>
      <c r="Q19" s="14" t="s">
        <v>36</v>
      </c>
      <c r="R19" s="14"/>
      <c r="S19" s="36"/>
      <c r="T19" s="27" t="s">
        <v>95</v>
      </c>
      <c r="U19" s="28" t="s">
        <v>83</v>
      </c>
      <c r="V19" s="29" t="s">
        <v>39</v>
      </c>
      <c r="W19" s="29"/>
      <c r="X19" s="9" t="s">
        <v>40</v>
      </c>
      <c r="Y19" s="9" t="s">
        <v>40</v>
      </c>
      <c r="Z19" s="16" t="s">
        <v>100</v>
      </c>
      <c r="AA19" s="15"/>
    </row>
    <row r="20" spans="1:41" ht="322.5" customHeight="1">
      <c r="A20" s="14" t="s">
        <v>31</v>
      </c>
      <c r="B20" s="14" t="s">
        <v>9</v>
      </c>
      <c r="C20" s="15" t="s">
        <v>101</v>
      </c>
      <c r="D20" s="47" t="s">
        <v>102</v>
      </c>
      <c r="E20" s="17" t="s">
        <v>34</v>
      </c>
      <c r="F20" s="17" t="s">
        <v>35</v>
      </c>
      <c r="G20" s="31"/>
      <c r="H20" s="32"/>
      <c r="I20" s="33"/>
      <c r="J20" s="31"/>
      <c r="K20" s="36"/>
      <c r="L20" s="34"/>
      <c r="M20" s="14"/>
      <c r="N20" s="36"/>
      <c r="O20" s="38"/>
      <c r="P20" s="37"/>
      <c r="Q20" s="14"/>
      <c r="R20" s="14"/>
      <c r="S20" s="36"/>
      <c r="T20" s="27" t="s">
        <v>103</v>
      </c>
      <c r="U20" s="28" t="s">
        <v>88</v>
      </c>
      <c r="V20" s="29" t="s">
        <v>39</v>
      </c>
      <c r="W20" s="29"/>
      <c r="X20" s="9" t="s">
        <v>40</v>
      </c>
      <c r="Y20" s="9" t="s">
        <v>40</v>
      </c>
      <c r="Z20" s="16" t="s">
        <v>100</v>
      </c>
      <c r="AA20" s="15"/>
    </row>
    <row r="21" spans="1:41" ht="322.5" customHeight="1">
      <c r="A21" s="14" t="s">
        <v>31</v>
      </c>
      <c r="B21" s="14" t="s">
        <v>9</v>
      </c>
      <c r="C21" s="15" t="s">
        <v>104</v>
      </c>
      <c r="D21" s="47" t="s">
        <v>105</v>
      </c>
      <c r="E21" s="17" t="s">
        <v>34</v>
      </c>
      <c r="F21" s="17" t="s">
        <v>35</v>
      </c>
      <c r="G21" s="31"/>
      <c r="H21" s="32"/>
      <c r="I21" s="33"/>
      <c r="J21" s="31"/>
      <c r="K21" s="36"/>
      <c r="L21" s="34"/>
      <c r="M21" s="14"/>
      <c r="N21" s="36"/>
      <c r="O21" s="38"/>
      <c r="P21" s="37"/>
      <c r="Q21" s="14"/>
      <c r="R21" s="14"/>
      <c r="S21" s="36"/>
      <c r="T21" s="27" t="s">
        <v>106</v>
      </c>
      <c r="U21" s="28" t="s">
        <v>92</v>
      </c>
      <c r="V21" s="29" t="s">
        <v>39</v>
      </c>
      <c r="W21" s="29"/>
      <c r="X21" s="9" t="s">
        <v>40</v>
      </c>
      <c r="Y21" s="9" t="s">
        <v>40</v>
      </c>
      <c r="Z21" s="16" t="s">
        <v>100</v>
      </c>
      <c r="AA21" s="15"/>
    </row>
    <row r="22" spans="1:41" ht="297.75" customHeight="1">
      <c r="A22" s="14" t="s">
        <v>31</v>
      </c>
      <c r="B22" s="48" t="s">
        <v>9</v>
      </c>
      <c r="C22" s="15" t="s">
        <v>107</v>
      </c>
      <c r="D22" s="49" t="s">
        <v>108</v>
      </c>
      <c r="E22" s="45" t="s">
        <v>34</v>
      </c>
      <c r="F22" s="17" t="s">
        <v>35</v>
      </c>
      <c r="G22" s="50" t="s">
        <v>36</v>
      </c>
      <c r="H22" s="51"/>
      <c r="I22" s="51"/>
      <c r="J22" s="52"/>
      <c r="K22" s="52"/>
      <c r="L22" s="51"/>
      <c r="M22" s="50" t="s">
        <v>36</v>
      </c>
      <c r="N22" s="50"/>
      <c r="O22" s="52"/>
      <c r="P22" s="52"/>
      <c r="Q22" s="50" t="s">
        <v>36</v>
      </c>
      <c r="R22" s="52"/>
      <c r="S22" s="52"/>
      <c r="T22" s="53" t="s">
        <v>109</v>
      </c>
      <c r="U22" s="54" t="s">
        <v>110</v>
      </c>
      <c r="V22" s="49" t="s">
        <v>39</v>
      </c>
      <c r="W22" s="49"/>
      <c r="X22" s="9" t="s">
        <v>40</v>
      </c>
      <c r="Y22" s="9" t="s">
        <v>40</v>
      </c>
      <c r="Z22" s="55" t="s">
        <v>111</v>
      </c>
      <c r="AA22" s="56"/>
      <c r="AB22" s="56"/>
      <c r="AC22" s="56"/>
      <c r="AD22" s="56"/>
      <c r="AE22" s="56"/>
      <c r="AF22" s="56"/>
      <c r="AG22" s="56"/>
      <c r="AH22" s="56"/>
      <c r="AI22" s="56"/>
      <c r="AJ22" s="56"/>
      <c r="AK22" s="56"/>
    </row>
    <row r="23" spans="1:41" ht="298.5" customHeight="1">
      <c r="A23" s="66" t="s">
        <v>112</v>
      </c>
      <c r="B23" s="67" t="s">
        <v>9</v>
      </c>
      <c r="C23" s="68" t="s">
        <v>113</v>
      </c>
      <c r="D23" s="69" t="s">
        <v>114</v>
      </c>
      <c r="E23" s="70" t="s">
        <v>34</v>
      </c>
      <c r="F23" s="71" t="s">
        <v>35</v>
      </c>
      <c r="G23" s="72" t="s">
        <v>36</v>
      </c>
      <c r="H23" s="73"/>
      <c r="I23" s="73"/>
      <c r="J23" s="74"/>
      <c r="K23" s="74"/>
      <c r="L23" s="73"/>
      <c r="M23" s="72"/>
      <c r="N23" s="72" t="s">
        <v>36</v>
      </c>
      <c r="O23" s="74"/>
      <c r="P23" s="74"/>
      <c r="Q23" s="72" t="s">
        <v>36</v>
      </c>
      <c r="R23" s="74"/>
      <c r="S23" s="74"/>
      <c r="T23" s="75" t="s">
        <v>109</v>
      </c>
      <c r="U23" s="76" t="s">
        <v>115</v>
      </c>
      <c r="V23" s="69" t="s">
        <v>39</v>
      </c>
      <c r="W23" s="69"/>
      <c r="X23" s="77" t="s">
        <v>40</v>
      </c>
      <c r="Y23" s="77" t="s">
        <v>40</v>
      </c>
      <c r="Z23" s="78" t="s">
        <v>116</v>
      </c>
      <c r="AA23" s="79"/>
      <c r="AB23" s="56"/>
      <c r="AC23" s="56"/>
      <c r="AD23" s="56"/>
      <c r="AE23" s="56"/>
      <c r="AF23" s="56"/>
      <c r="AG23" s="56"/>
      <c r="AH23" s="56"/>
      <c r="AI23" s="56"/>
      <c r="AJ23" s="56"/>
      <c r="AK23" s="56"/>
    </row>
    <row r="24" spans="1:41" s="60" customFormat="1" ht="192" customHeight="1">
      <c r="A24" s="14" t="s">
        <v>112</v>
      </c>
      <c r="B24" s="61" t="s">
        <v>9</v>
      </c>
      <c r="C24" s="61" t="s">
        <v>117</v>
      </c>
      <c r="D24" s="61" t="s">
        <v>114</v>
      </c>
      <c r="E24" s="61" t="s">
        <v>34</v>
      </c>
      <c r="F24" s="61" t="s">
        <v>118</v>
      </c>
      <c r="G24" s="48" t="s">
        <v>36</v>
      </c>
      <c r="H24" s="62"/>
      <c r="I24" s="62"/>
      <c r="J24" s="63"/>
      <c r="K24" s="63"/>
      <c r="L24" s="62"/>
      <c r="M24" s="48"/>
      <c r="N24" s="48" t="s">
        <v>36</v>
      </c>
      <c r="O24" s="63"/>
      <c r="P24" s="63"/>
      <c r="Q24" s="48" t="s">
        <v>36</v>
      </c>
      <c r="R24" s="63"/>
      <c r="S24" s="63"/>
      <c r="T24" s="61" t="s">
        <v>119</v>
      </c>
      <c r="U24" s="64" t="s">
        <v>115</v>
      </c>
      <c r="V24" s="61" t="s">
        <v>39</v>
      </c>
      <c r="W24" s="61"/>
      <c r="X24" s="61" t="s">
        <v>40</v>
      </c>
      <c r="Y24" s="61" t="s">
        <v>40</v>
      </c>
      <c r="Z24" s="61" t="s">
        <v>116</v>
      </c>
      <c r="AA24" s="61"/>
      <c r="AB24" s="65"/>
    </row>
    <row r="25" spans="1:41" ht="282" customHeight="1">
      <c r="A25" s="24" t="s">
        <v>31</v>
      </c>
      <c r="B25" s="24" t="s">
        <v>9</v>
      </c>
      <c r="C25" s="80" t="s">
        <v>120</v>
      </c>
      <c r="D25" s="81" t="s">
        <v>121</v>
      </c>
      <c r="E25" s="82" t="s">
        <v>34</v>
      </c>
      <c r="F25" s="82" t="s">
        <v>35</v>
      </c>
      <c r="G25" s="21"/>
      <c r="H25" s="26"/>
      <c r="I25" s="22"/>
      <c r="J25" s="21"/>
      <c r="K25" s="22"/>
      <c r="L25" s="21"/>
      <c r="M25" s="26"/>
      <c r="N25" s="22"/>
      <c r="O25" s="23"/>
      <c r="P25" s="26"/>
      <c r="Q25" s="24"/>
      <c r="R25" s="24" t="s">
        <v>36</v>
      </c>
      <c r="S25" s="25"/>
      <c r="T25" s="83" t="s">
        <v>122</v>
      </c>
      <c r="U25" s="84" t="s">
        <v>123</v>
      </c>
      <c r="V25" s="85" t="s">
        <v>39</v>
      </c>
      <c r="W25" s="85"/>
      <c r="X25" s="9" t="s">
        <v>40</v>
      </c>
      <c r="Y25" s="9" t="s">
        <v>40</v>
      </c>
      <c r="Z25" s="86"/>
      <c r="AA25" s="80"/>
      <c r="AB25" s="30"/>
      <c r="AC25" s="30"/>
      <c r="AD25" s="30"/>
      <c r="AE25" s="30"/>
      <c r="AF25" s="30"/>
      <c r="AG25" s="30"/>
      <c r="AH25" s="30"/>
      <c r="AI25" s="30"/>
      <c r="AJ25" s="30"/>
      <c r="AK25" s="30"/>
      <c r="AL25" s="30"/>
      <c r="AM25" s="30"/>
      <c r="AN25" s="30"/>
      <c r="AO25" s="30"/>
    </row>
    <row r="26" spans="1:41" ht="277.5" customHeight="1">
      <c r="A26" s="14" t="s">
        <v>31</v>
      </c>
      <c r="B26" s="14" t="s">
        <v>9</v>
      </c>
      <c r="C26" s="15" t="s">
        <v>124</v>
      </c>
      <c r="D26" s="41" t="s">
        <v>125</v>
      </c>
      <c r="E26" s="17" t="s">
        <v>34</v>
      </c>
      <c r="F26" s="17" t="s">
        <v>35</v>
      </c>
      <c r="G26" s="31" t="s">
        <v>36</v>
      </c>
      <c r="H26" s="32"/>
      <c r="I26" s="33"/>
      <c r="J26" s="31" t="s">
        <v>36</v>
      </c>
      <c r="K26" s="36"/>
      <c r="L26" s="34"/>
      <c r="M26" s="14" t="s">
        <v>36</v>
      </c>
      <c r="N26" s="36" t="s">
        <v>36</v>
      </c>
      <c r="O26" s="38"/>
      <c r="P26" s="37"/>
      <c r="Q26" s="14"/>
      <c r="R26" s="14" t="s">
        <v>36</v>
      </c>
      <c r="S26" s="36"/>
      <c r="T26" s="27" t="s">
        <v>126</v>
      </c>
      <c r="U26" s="28" t="s">
        <v>127</v>
      </c>
      <c r="V26" s="29" t="s">
        <v>39</v>
      </c>
      <c r="W26" s="29"/>
      <c r="X26" s="9" t="s">
        <v>40</v>
      </c>
      <c r="Y26" s="9" t="s">
        <v>40</v>
      </c>
      <c r="Z26" s="57" t="s">
        <v>128</v>
      </c>
      <c r="AA26" s="15"/>
      <c r="AB26" s="30"/>
      <c r="AC26" s="30"/>
      <c r="AD26" s="30"/>
      <c r="AE26" s="30"/>
      <c r="AF26" s="30"/>
      <c r="AG26" s="30"/>
      <c r="AH26" s="30"/>
      <c r="AI26" s="30"/>
      <c r="AJ26" s="30"/>
      <c r="AK26" s="30"/>
      <c r="AL26" s="30"/>
      <c r="AM26" s="30"/>
      <c r="AN26" s="30"/>
      <c r="AO26" s="30"/>
    </row>
    <row r="27" spans="1:41" ht="279.75" customHeight="1">
      <c r="A27" s="14" t="s">
        <v>31</v>
      </c>
      <c r="B27" s="14" t="s">
        <v>9</v>
      </c>
      <c r="C27" s="15" t="s">
        <v>129</v>
      </c>
      <c r="D27" s="41" t="s">
        <v>130</v>
      </c>
      <c r="E27" s="39" t="s">
        <v>63</v>
      </c>
      <c r="F27" s="17" t="s">
        <v>35</v>
      </c>
      <c r="G27" s="31" t="s">
        <v>36</v>
      </c>
      <c r="H27" s="32"/>
      <c r="I27" s="33"/>
      <c r="J27" s="31"/>
      <c r="K27" s="36" t="s">
        <v>36</v>
      </c>
      <c r="L27" s="31" t="s">
        <v>36</v>
      </c>
      <c r="M27" s="14"/>
      <c r="N27" s="36"/>
      <c r="O27" s="38"/>
      <c r="P27" s="37"/>
      <c r="Q27" s="14"/>
      <c r="R27" s="14" t="s">
        <v>36</v>
      </c>
      <c r="S27" s="36"/>
      <c r="T27" s="27" t="s">
        <v>131</v>
      </c>
      <c r="U27" s="28" t="s">
        <v>132</v>
      </c>
      <c r="V27" s="29" t="s">
        <v>39</v>
      </c>
      <c r="W27" s="29"/>
      <c r="X27" s="9" t="s">
        <v>40</v>
      </c>
      <c r="Y27" s="9" t="s">
        <v>40</v>
      </c>
      <c r="Z27" s="58" t="s">
        <v>133</v>
      </c>
      <c r="AA27" s="15"/>
    </row>
    <row r="28" spans="1:41" ht="141.75" customHeight="1">
      <c r="A28" s="14" t="s">
        <v>31</v>
      </c>
      <c r="B28" s="14" t="s">
        <v>9</v>
      </c>
      <c r="C28" s="15" t="s">
        <v>134</v>
      </c>
      <c r="D28" s="16" t="s">
        <v>135</v>
      </c>
      <c r="E28" s="17" t="s">
        <v>34</v>
      </c>
      <c r="F28" s="17" t="s">
        <v>35</v>
      </c>
      <c r="G28" s="31" t="s">
        <v>36</v>
      </c>
      <c r="H28" s="32"/>
      <c r="I28" s="33"/>
      <c r="J28" s="31"/>
      <c r="K28" s="36" t="s">
        <v>36</v>
      </c>
      <c r="L28" s="31" t="s">
        <v>36</v>
      </c>
      <c r="M28" s="14"/>
      <c r="N28" s="36"/>
      <c r="O28" s="38"/>
      <c r="P28" s="37"/>
      <c r="Q28" s="14"/>
      <c r="R28" s="14"/>
      <c r="S28" s="36" t="s">
        <v>36</v>
      </c>
      <c r="T28" s="27" t="s">
        <v>136</v>
      </c>
      <c r="U28" s="28" t="s">
        <v>92</v>
      </c>
      <c r="V28" s="29" t="s">
        <v>39</v>
      </c>
      <c r="W28" s="29"/>
      <c r="X28" s="9" t="s">
        <v>40</v>
      </c>
      <c r="Y28" s="9" t="s">
        <v>40</v>
      </c>
      <c r="Z28" s="16"/>
      <c r="AA28" s="15"/>
      <c r="AB28" s="30"/>
      <c r="AC28" s="30"/>
      <c r="AD28" s="30"/>
      <c r="AE28" s="30"/>
      <c r="AF28" s="30"/>
      <c r="AG28" s="30"/>
      <c r="AH28" s="30"/>
      <c r="AI28" s="30"/>
      <c r="AJ28" s="30"/>
      <c r="AK28" s="30"/>
      <c r="AL28" s="30"/>
      <c r="AM28" s="30"/>
      <c r="AN28" s="30"/>
      <c r="AO28" s="30"/>
    </row>
    <row r="29" spans="1:41" ht="141.75" customHeight="1">
      <c r="A29" s="14" t="s">
        <v>31</v>
      </c>
      <c r="B29" s="14" t="s">
        <v>9</v>
      </c>
      <c r="C29" s="15" t="s">
        <v>137</v>
      </c>
      <c r="D29" s="41" t="s">
        <v>138</v>
      </c>
      <c r="E29" s="45" t="s">
        <v>34</v>
      </c>
      <c r="F29" s="17" t="s">
        <v>35</v>
      </c>
      <c r="G29" s="34"/>
      <c r="H29" s="37"/>
      <c r="I29" s="35"/>
      <c r="J29" s="34"/>
      <c r="K29" s="35"/>
      <c r="L29" s="34"/>
      <c r="M29" s="37"/>
      <c r="N29" s="35"/>
      <c r="O29" s="34"/>
      <c r="P29" s="37"/>
      <c r="Q29" s="37"/>
      <c r="R29" s="37"/>
      <c r="S29" s="35"/>
      <c r="T29" s="27" t="s">
        <v>139</v>
      </c>
      <c r="U29" s="40" t="s">
        <v>140</v>
      </c>
      <c r="V29" s="29" t="s">
        <v>39</v>
      </c>
      <c r="W29" s="29"/>
      <c r="X29" s="9" t="s">
        <v>40</v>
      </c>
      <c r="Y29" s="9" t="s">
        <v>40</v>
      </c>
      <c r="Z29" s="16"/>
      <c r="AA29" s="15"/>
    </row>
    <row r="30" spans="1:41" ht="15.75" customHeight="1">
      <c r="D30" s="59"/>
    </row>
    <row r="31" spans="1:41" ht="15.75" customHeight="1">
      <c r="D31" s="59"/>
    </row>
    <row r="32" spans="1:41" ht="15.75" customHeight="1">
      <c r="D32" s="59"/>
      <c r="V32" s="10" t="s">
        <v>141</v>
      </c>
      <c r="W32" s="1"/>
      <c r="X32" s="1"/>
    </row>
    <row r="33" spans="4:24" ht="15.75" customHeight="1">
      <c r="D33" s="59"/>
      <c r="W33" s="3"/>
      <c r="X33" s="3"/>
    </row>
    <row r="34" spans="4:24" ht="15.75" customHeight="1">
      <c r="D34" s="59"/>
      <c r="W34" s="4" t="s">
        <v>142</v>
      </c>
      <c r="X34" s="4" t="s">
        <v>143</v>
      </c>
    </row>
    <row r="35" spans="4:24" ht="15.75" customHeight="1">
      <c r="D35" s="59"/>
      <c r="V35" s="5" t="s">
        <v>40</v>
      </c>
      <c r="W35" s="7">
        <f>COUNTIF(X4:X29,"Not Start")</f>
        <v>26</v>
      </c>
      <c r="X35" s="7">
        <f>COUNTIF(Y4:Y29,"Not Start")</f>
        <v>26</v>
      </c>
    </row>
    <row r="36" spans="4:24" ht="15.75" customHeight="1">
      <c r="D36" s="59"/>
      <c r="V36" s="5" t="s">
        <v>144</v>
      </c>
      <c r="W36" s="7">
        <f>COUNTIF(X4:X29,"Inprogress")</f>
        <v>0</v>
      </c>
      <c r="X36" s="7">
        <f>COUNTIF(Y4:Y29,"Inprogress")</f>
        <v>0</v>
      </c>
    </row>
    <row r="37" spans="4:24" ht="15.75" customHeight="1">
      <c r="D37" s="59"/>
      <c r="V37" s="5" t="s">
        <v>145</v>
      </c>
      <c r="W37" s="7">
        <f>COUNTIF(X4:X29,"Skip")</f>
        <v>0</v>
      </c>
      <c r="X37" s="7">
        <f>COUNTIF(Y4:Y29,"Skip")</f>
        <v>0</v>
      </c>
    </row>
    <row r="38" spans="4:24" ht="15.75" customHeight="1">
      <c r="D38" s="59"/>
      <c r="V38" s="5" t="s">
        <v>146</v>
      </c>
      <c r="W38" s="7">
        <f>COUNTIF(X4:X29,"Failed")</f>
        <v>0</v>
      </c>
      <c r="X38" s="7">
        <f>COUNTIF(Y4:Y29,"Failed")</f>
        <v>0</v>
      </c>
    </row>
    <row r="39" spans="4:24" ht="15.75" customHeight="1">
      <c r="D39" s="59"/>
      <c r="V39" s="5" t="s">
        <v>147</v>
      </c>
      <c r="W39" s="7">
        <f>COUNTIF(X4:X29,"block")</f>
        <v>0</v>
      </c>
      <c r="X39" s="7">
        <f>COUNTIF(Y4:Y29,"block")</f>
        <v>0</v>
      </c>
    </row>
    <row r="40" spans="4:24" ht="15.75" customHeight="1">
      <c r="D40" s="59"/>
      <c r="V40" s="5" t="s">
        <v>148</v>
      </c>
      <c r="W40" s="6">
        <f>COUNTIF(X4:X29,"Passed")</f>
        <v>0</v>
      </c>
      <c r="X40" s="6">
        <f>COUNTIF(Y4:Y29,"Passed")</f>
        <v>0</v>
      </c>
    </row>
    <row r="41" spans="4:24" ht="15.75" customHeight="1">
      <c r="D41" s="59"/>
    </row>
    <row r="42" spans="4:24" ht="15.75" customHeight="1">
      <c r="D42" s="59"/>
      <c r="W42" s="4" t="s">
        <v>142</v>
      </c>
      <c r="X42" s="4" t="s">
        <v>143</v>
      </c>
    </row>
    <row r="43" spans="4:24" ht="15.75" customHeight="1">
      <c r="D43" s="59"/>
      <c r="V43" s="5" t="s">
        <v>149</v>
      </c>
      <c r="W43" s="8">
        <f t="shared" ref="W43:X43" si="0">W40/(W40+W35+W36+W38)</f>
        <v>0</v>
      </c>
      <c r="X43" s="8">
        <f t="shared" si="0"/>
        <v>0</v>
      </c>
    </row>
    <row r="44" spans="4:24" ht="15.75" customHeight="1">
      <c r="D44" s="59"/>
    </row>
    <row r="45" spans="4:24" ht="15.75" customHeight="1">
      <c r="D45" s="59"/>
    </row>
    <row r="46" spans="4:24" ht="15.75" customHeight="1">
      <c r="D46" s="59"/>
    </row>
    <row r="47" spans="4:24" ht="15.75" customHeight="1">
      <c r="D47" s="59"/>
    </row>
    <row r="48" spans="4:24" ht="15.75" customHeight="1">
      <c r="D48" s="59"/>
    </row>
    <row r="49" spans="4:4" ht="15.75" customHeight="1">
      <c r="D49" s="59"/>
    </row>
    <row r="50" spans="4:4" ht="15.75" customHeight="1">
      <c r="D50" s="59"/>
    </row>
    <row r="51" spans="4:4" ht="15.75" customHeight="1">
      <c r="D51" s="59"/>
    </row>
    <row r="52" spans="4:4" ht="15.75" customHeight="1">
      <c r="D52" s="59"/>
    </row>
    <row r="53" spans="4:4" ht="15.75" customHeight="1">
      <c r="D53" s="59"/>
    </row>
    <row r="54" spans="4:4" ht="15.75" customHeight="1">
      <c r="D54" s="59"/>
    </row>
    <row r="55" spans="4:4" ht="15.75" customHeight="1">
      <c r="D55" s="59"/>
    </row>
    <row r="56" spans="4:4" ht="15.75" customHeight="1">
      <c r="D56" s="59"/>
    </row>
    <row r="57" spans="4:4" ht="15.75" customHeight="1">
      <c r="D57" s="59"/>
    </row>
    <row r="58" spans="4:4" ht="15.75" customHeight="1">
      <c r="D58" s="59"/>
    </row>
    <row r="59" spans="4:4" ht="15.75" customHeight="1">
      <c r="D59" s="59"/>
    </row>
    <row r="60" spans="4:4" ht="15.75" customHeight="1">
      <c r="D60" s="59"/>
    </row>
    <row r="61" spans="4:4" ht="15.75" customHeight="1">
      <c r="D61" s="59"/>
    </row>
    <row r="62" spans="4:4" ht="15.75" customHeight="1">
      <c r="D62" s="59"/>
    </row>
    <row r="63" spans="4:4" ht="15.75" customHeight="1">
      <c r="D63" s="59"/>
    </row>
    <row r="64" spans="4:4" ht="15.75" customHeight="1">
      <c r="D64" s="59"/>
    </row>
    <row r="65" spans="4:4" ht="15.75" customHeight="1">
      <c r="D65" s="59"/>
    </row>
    <row r="66" spans="4:4" ht="15.75" customHeight="1">
      <c r="D66" s="59"/>
    </row>
    <row r="67" spans="4:4" ht="15.75" customHeight="1">
      <c r="D67" s="59"/>
    </row>
    <row r="68" spans="4:4" ht="15.75" customHeight="1">
      <c r="D68" s="59"/>
    </row>
    <row r="69" spans="4:4" ht="15.75" customHeight="1">
      <c r="D69" s="59"/>
    </row>
    <row r="70" spans="4:4" ht="15.75" customHeight="1">
      <c r="D70" s="59"/>
    </row>
    <row r="71" spans="4:4" ht="15.75" customHeight="1">
      <c r="D71" s="59"/>
    </row>
    <row r="72" spans="4:4" ht="15.75" customHeight="1">
      <c r="D72" s="59"/>
    </row>
    <row r="73" spans="4:4" ht="15.75" customHeight="1">
      <c r="D73" s="59"/>
    </row>
    <row r="74" spans="4:4" ht="15.75" customHeight="1">
      <c r="D74" s="59"/>
    </row>
    <row r="75" spans="4:4" ht="15.75" customHeight="1">
      <c r="D75" s="59"/>
    </row>
    <row r="76" spans="4:4" ht="15.75" customHeight="1">
      <c r="D76" s="59"/>
    </row>
    <row r="77" spans="4:4" ht="15.75" customHeight="1">
      <c r="D77" s="59"/>
    </row>
    <row r="78" spans="4:4" ht="15.75" customHeight="1">
      <c r="D78" s="59"/>
    </row>
    <row r="79" spans="4:4" ht="15.75" customHeight="1">
      <c r="D79" s="59"/>
    </row>
    <row r="80" spans="4:4" ht="15.75" customHeight="1">
      <c r="D80" s="59"/>
    </row>
    <row r="81" spans="4:4" ht="15.75" customHeight="1">
      <c r="D81" s="59"/>
    </row>
    <row r="82" spans="4:4" ht="15.75" customHeight="1">
      <c r="D82" s="59"/>
    </row>
    <row r="83" spans="4:4" ht="15.75" customHeight="1">
      <c r="D83" s="59"/>
    </row>
    <row r="84" spans="4:4" ht="15.75" customHeight="1">
      <c r="D84" s="59"/>
    </row>
    <row r="85" spans="4:4" ht="15.75" customHeight="1">
      <c r="D85" s="59"/>
    </row>
    <row r="86" spans="4:4" ht="15.75" customHeight="1">
      <c r="D86" s="59"/>
    </row>
    <row r="87" spans="4:4" ht="15.75" customHeight="1">
      <c r="D87" s="59"/>
    </row>
    <row r="88" spans="4:4" ht="15.75" customHeight="1">
      <c r="D88" s="59"/>
    </row>
    <row r="89" spans="4:4" ht="15.75" customHeight="1">
      <c r="D89" s="59"/>
    </row>
    <row r="90" spans="4:4" ht="15.75" customHeight="1">
      <c r="D90" s="59"/>
    </row>
    <row r="91" spans="4:4" ht="15.75" customHeight="1">
      <c r="D91" s="59"/>
    </row>
    <row r="92" spans="4:4" ht="15.75" customHeight="1">
      <c r="D92" s="59"/>
    </row>
    <row r="93" spans="4:4" ht="15.75" customHeight="1">
      <c r="D93" s="59"/>
    </row>
    <row r="94" spans="4:4" ht="15.75" customHeight="1">
      <c r="D94" s="59"/>
    </row>
    <row r="95" spans="4:4" ht="15.75" customHeight="1">
      <c r="D95" s="59"/>
    </row>
    <row r="96" spans="4:4" ht="15.75" customHeight="1">
      <c r="D96" s="59"/>
    </row>
    <row r="97" spans="4:4" ht="15.75" customHeight="1">
      <c r="D97" s="59"/>
    </row>
    <row r="98" spans="4:4" ht="15.75" customHeight="1">
      <c r="D98" s="59"/>
    </row>
    <row r="99" spans="4:4" ht="15.75" customHeight="1">
      <c r="D99" s="59"/>
    </row>
    <row r="100" spans="4:4" ht="15.75" customHeight="1">
      <c r="D100" s="59"/>
    </row>
    <row r="101" spans="4:4" ht="15.75" customHeight="1">
      <c r="D101" s="59"/>
    </row>
    <row r="102" spans="4:4" ht="15.75" customHeight="1">
      <c r="D102" s="59"/>
    </row>
    <row r="103" spans="4:4" ht="15.75" customHeight="1">
      <c r="D103" s="59"/>
    </row>
    <row r="104" spans="4:4" ht="15.75" customHeight="1">
      <c r="D104" s="59"/>
    </row>
    <row r="105" spans="4:4" ht="15.75" customHeight="1">
      <c r="D105" s="59"/>
    </row>
    <row r="106" spans="4:4" ht="15.75" customHeight="1">
      <c r="D106" s="59"/>
    </row>
    <row r="107" spans="4:4" ht="15.75" customHeight="1">
      <c r="D107" s="59"/>
    </row>
    <row r="108" spans="4:4" ht="15.75" customHeight="1">
      <c r="D108" s="59"/>
    </row>
    <row r="109" spans="4:4" ht="15.75" customHeight="1">
      <c r="D109" s="59"/>
    </row>
    <row r="110" spans="4:4" ht="15.75" customHeight="1">
      <c r="D110" s="59"/>
    </row>
    <row r="111" spans="4:4" ht="15.75" customHeight="1">
      <c r="D111" s="59"/>
    </row>
    <row r="112" spans="4:4" ht="15.75" customHeight="1">
      <c r="D112" s="59"/>
    </row>
    <row r="113" spans="4:4" ht="15.75" customHeight="1">
      <c r="D113" s="59"/>
    </row>
    <row r="114" spans="4:4" ht="15.75" customHeight="1">
      <c r="D114" s="59"/>
    </row>
    <row r="115" spans="4:4" ht="15.75" customHeight="1">
      <c r="D115" s="59"/>
    </row>
    <row r="116" spans="4:4" ht="15.75" customHeight="1">
      <c r="D116" s="59"/>
    </row>
    <row r="117" spans="4:4" ht="15.75" customHeight="1">
      <c r="D117" s="59"/>
    </row>
    <row r="118" spans="4:4" ht="15.75" customHeight="1">
      <c r="D118" s="59"/>
    </row>
    <row r="119" spans="4:4" ht="15.75" customHeight="1">
      <c r="D119" s="59"/>
    </row>
    <row r="120" spans="4:4" ht="15.75" customHeight="1">
      <c r="D120" s="59"/>
    </row>
    <row r="121" spans="4:4" ht="15.75" customHeight="1">
      <c r="D121" s="59"/>
    </row>
    <row r="122" spans="4:4" ht="15.75" customHeight="1">
      <c r="D122" s="59"/>
    </row>
    <row r="123" spans="4:4" ht="15.75" customHeight="1">
      <c r="D123" s="59"/>
    </row>
    <row r="124" spans="4:4" ht="15.75" customHeight="1">
      <c r="D124" s="59"/>
    </row>
    <row r="125" spans="4:4" ht="15.75" customHeight="1">
      <c r="D125" s="59"/>
    </row>
    <row r="126" spans="4:4" ht="15.75" customHeight="1">
      <c r="D126" s="59"/>
    </row>
    <row r="127" spans="4:4" ht="15.75" customHeight="1">
      <c r="D127" s="59"/>
    </row>
    <row r="128" spans="4:4" ht="15.75" customHeight="1">
      <c r="D128" s="59"/>
    </row>
    <row r="129" spans="4:4" ht="15.75" customHeight="1">
      <c r="D129" s="59"/>
    </row>
    <row r="130" spans="4:4" ht="15.75" customHeight="1">
      <c r="D130" s="59"/>
    </row>
    <row r="131" spans="4:4" ht="15.75" customHeight="1">
      <c r="D131" s="59"/>
    </row>
    <row r="132" spans="4:4" ht="15.75" customHeight="1">
      <c r="D132" s="59"/>
    </row>
    <row r="133" spans="4:4" ht="15.75" customHeight="1">
      <c r="D133" s="59"/>
    </row>
    <row r="134" spans="4:4" ht="15.75" customHeight="1">
      <c r="D134" s="59"/>
    </row>
    <row r="135" spans="4:4" ht="15.75" customHeight="1">
      <c r="D135" s="59"/>
    </row>
    <row r="136" spans="4:4" ht="15.75" customHeight="1">
      <c r="D136" s="59"/>
    </row>
    <row r="137" spans="4:4" ht="15.75" customHeight="1">
      <c r="D137" s="59"/>
    </row>
    <row r="138" spans="4:4" ht="15.75" customHeight="1">
      <c r="D138" s="59"/>
    </row>
    <row r="139" spans="4:4" ht="15.75" customHeight="1">
      <c r="D139" s="59"/>
    </row>
    <row r="140" spans="4:4" ht="15.75" customHeight="1">
      <c r="D140" s="59"/>
    </row>
    <row r="141" spans="4:4" ht="15.75" customHeight="1">
      <c r="D141" s="59"/>
    </row>
    <row r="142" spans="4:4" ht="15.75" customHeight="1">
      <c r="D142" s="59"/>
    </row>
    <row r="143" spans="4:4" ht="15.75" customHeight="1">
      <c r="D143" s="59"/>
    </row>
    <row r="144" spans="4:4" ht="15.75" customHeight="1">
      <c r="D144" s="59"/>
    </row>
    <row r="145" spans="4:4" ht="15.75" customHeight="1">
      <c r="D145" s="59"/>
    </row>
    <row r="146" spans="4:4" ht="15.75" customHeight="1">
      <c r="D146" s="59"/>
    </row>
    <row r="147" spans="4:4" ht="15.75" customHeight="1">
      <c r="D147" s="59"/>
    </row>
    <row r="148" spans="4:4" ht="15.75" customHeight="1">
      <c r="D148" s="59"/>
    </row>
    <row r="149" spans="4:4" ht="15.75" customHeight="1">
      <c r="D149" s="59"/>
    </row>
    <row r="150" spans="4:4" ht="15.75" customHeight="1">
      <c r="D150" s="59"/>
    </row>
    <row r="151" spans="4:4" ht="15.75" customHeight="1">
      <c r="D151" s="59"/>
    </row>
    <row r="152" spans="4:4" ht="15.75" customHeight="1">
      <c r="D152" s="59"/>
    </row>
    <row r="153" spans="4:4" ht="15.75" customHeight="1">
      <c r="D153" s="59"/>
    </row>
    <row r="154" spans="4:4" ht="15.75" customHeight="1">
      <c r="D154" s="59"/>
    </row>
    <row r="155" spans="4:4" ht="15.75" customHeight="1">
      <c r="D155" s="59"/>
    </row>
    <row r="156" spans="4:4" ht="15.75" customHeight="1">
      <c r="D156" s="59"/>
    </row>
    <row r="157" spans="4:4" ht="15.75" customHeight="1">
      <c r="D157" s="59"/>
    </row>
    <row r="158" spans="4:4" ht="15.75" customHeight="1">
      <c r="D158" s="59"/>
    </row>
    <row r="159" spans="4:4" ht="15.75" customHeight="1">
      <c r="D159" s="59"/>
    </row>
    <row r="160" spans="4:4" ht="15.75" customHeight="1">
      <c r="D160" s="59"/>
    </row>
    <row r="161" spans="4:4" ht="15.75" customHeight="1">
      <c r="D161" s="59"/>
    </row>
    <row r="162" spans="4:4" ht="15.75" customHeight="1">
      <c r="D162" s="59"/>
    </row>
    <row r="163" spans="4:4" ht="15.75" customHeight="1">
      <c r="D163" s="59"/>
    </row>
    <row r="164" spans="4:4" ht="15.75" customHeight="1">
      <c r="D164" s="59"/>
    </row>
    <row r="165" spans="4:4" ht="15.75" customHeight="1">
      <c r="D165" s="59"/>
    </row>
    <row r="166" spans="4:4" ht="15.75" customHeight="1">
      <c r="D166" s="59"/>
    </row>
    <row r="167" spans="4:4" ht="15.75" customHeight="1">
      <c r="D167" s="59"/>
    </row>
    <row r="168" spans="4:4" ht="15.75" customHeight="1">
      <c r="D168" s="59"/>
    </row>
    <row r="169" spans="4:4" ht="15.75" customHeight="1">
      <c r="D169" s="59"/>
    </row>
    <row r="170" spans="4:4" ht="15.75" customHeight="1">
      <c r="D170" s="59"/>
    </row>
    <row r="171" spans="4:4" ht="15.75" customHeight="1">
      <c r="D171" s="59"/>
    </row>
    <row r="172" spans="4:4" ht="15.75" customHeight="1">
      <c r="D172" s="59"/>
    </row>
    <row r="173" spans="4:4" ht="15.75" customHeight="1">
      <c r="D173" s="59"/>
    </row>
    <row r="174" spans="4:4" ht="15.75" customHeight="1">
      <c r="D174" s="59"/>
    </row>
    <row r="175" spans="4:4" ht="15.75" customHeight="1">
      <c r="D175" s="59"/>
    </row>
    <row r="176" spans="4:4" ht="15.75" customHeight="1">
      <c r="D176" s="59"/>
    </row>
    <row r="177" spans="4:4" ht="15.75" customHeight="1">
      <c r="D177" s="59"/>
    </row>
    <row r="178" spans="4:4" ht="15.75" customHeight="1">
      <c r="D178" s="59"/>
    </row>
    <row r="179" spans="4:4" ht="15.75" customHeight="1">
      <c r="D179" s="59"/>
    </row>
    <row r="180" spans="4:4" ht="15.75" customHeight="1">
      <c r="D180" s="59"/>
    </row>
    <row r="181" spans="4:4" ht="15.75" customHeight="1">
      <c r="D181" s="59"/>
    </row>
    <row r="182" spans="4:4" ht="15.75" customHeight="1">
      <c r="D182" s="59"/>
    </row>
    <row r="183" spans="4:4" ht="15.75" customHeight="1">
      <c r="D183" s="59"/>
    </row>
    <row r="184" spans="4:4" ht="15.75" customHeight="1">
      <c r="D184" s="59"/>
    </row>
    <row r="185" spans="4:4" ht="15.75" customHeight="1">
      <c r="D185" s="59"/>
    </row>
    <row r="186" spans="4:4" ht="15.75" customHeight="1">
      <c r="D186" s="59"/>
    </row>
    <row r="187" spans="4:4" ht="15.75" customHeight="1">
      <c r="D187" s="59"/>
    </row>
    <row r="188" spans="4:4" ht="15.75" customHeight="1">
      <c r="D188" s="59"/>
    </row>
    <row r="189" spans="4:4" ht="15.75" customHeight="1">
      <c r="D189" s="59"/>
    </row>
    <row r="190" spans="4:4" ht="15.75" customHeight="1">
      <c r="D190" s="59"/>
    </row>
    <row r="191" spans="4:4" ht="15.75" customHeight="1">
      <c r="D191" s="59"/>
    </row>
    <row r="192" spans="4:4" ht="15.75" customHeight="1">
      <c r="D192" s="59"/>
    </row>
    <row r="193" spans="4:4" ht="15.75" customHeight="1">
      <c r="D193" s="59"/>
    </row>
    <row r="194" spans="4:4" ht="15.75" customHeight="1">
      <c r="D194" s="59"/>
    </row>
    <row r="195" spans="4:4" ht="15.75" customHeight="1">
      <c r="D195" s="59"/>
    </row>
    <row r="196" spans="4:4" ht="15.75" customHeight="1">
      <c r="D196" s="59"/>
    </row>
    <row r="197" spans="4:4" ht="15.75" customHeight="1">
      <c r="D197" s="59"/>
    </row>
    <row r="198" spans="4:4" ht="15.75" customHeight="1">
      <c r="D198" s="59"/>
    </row>
    <row r="199" spans="4:4" ht="15.75" customHeight="1">
      <c r="D199" s="59"/>
    </row>
    <row r="200" spans="4:4" ht="15.75" customHeight="1">
      <c r="D200" s="59"/>
    </row>
    <row r="201" spans="4:4" ht="15.75" customHeight="1">
      <c r="D201" s="59"/>
    </row>
    <row r="202" spans="4:4" ht="15.75" customHeight="1">
      <c r="D202" s="59"/>
    </row>
    <row r="203" spans="4:4" ht="15.75" customHeight="1">
      <c r="D203" s="59"/>
    </row>
    <row r="204" spans="4:4" ht="15.75" customHeight="1">
      <c r="D204" s="59"/>
    </row>
    <row r="205" spans="4:4" ht="15.75" customHeight="1">
      <c r="D205" s="59"/>
    </row>
    <row r="206" spans="4:4" ht="15.75" customHeight="1">
      <c r="D206" s="59"/>
    </row>
    <row r="207" spans="4:4" ht="15.75" customHeight="1">
      <c r="D207" s="59"/>
    </row>
    <row r="208" spans="4:4" ht="15.75" customHeight="1">
      <c r="D208" s="59"/>
    </row>
    <row r="209" spans="4:4" ht="15.75" customHeight="1">
      <c r="D209" s="59"/>
    </row>
    <row r="210" spans="4:4" ht="15.75" customHeight="1">
      <c r="D210" s="59"/>
    </row>
    <row r="211" spans="4:4" ht="15.75" customHeight="1">
      <c r="D211" s="59"/>
    </row>
    <row r="212" spans="4:4" ht="15.75" customHeight="1">
      <c r="D212" s="59"/>
    </row>
    <row r="213" spans="4:4" ht="15.75" customHeight="1">
      <c r="D213" s="59"/>
    </row>
    <row r="214" spans="4:4" ht="15.75" customHeight="1">
      <c r="D214" s="59"/>
    </row>
    <row r="215" spans="4:4" ht="15.75" customHeight="1">
      <c r="D215" s="59"/>
    </row>
    <row r="216" spans="4:4" ht="15.75" customHeight="1">
      <c r="D216" s="59"/>
    </row>
    <row r="217" spans="4:4" ht="15.75" customHeight="1">
      <c r="D217" s="59"/>
    </row>
    <row r="218" spans="4:4" ht="15.75" customHeight="1">
      <c r="D218" s="59"/>
    </row>
    <row r="219" spans="4:4" ht="15.75" customHeight="1">
      <c r="D219" s="59"/>
    </row>
    <row r="220" spans="4:4" ht="15.75" customHeight="1">
      <c r="D220" s="59"/>
    </row>
    <row r="221" spans="4:4" ht="15.75" customHeight="1">
      <c r="D221" s="59"/>
    </row>
    <row r="222" spans="4:4" ht="15.75" customHeight="1">
      <c r="D222" s="59"/>
    </row>
    <row r="223" spans="4:4" ht="15.75" customHeight="1">
      <c r="D223" s="59"/>
    </row>
    <row r="224" spans="4:4" ht="15.75" customHeight="1">
      <c r="D224" s="59"/>
    </row>
    <row r="225" spans="4:4" ht="15.75" customHeight="1">
      <c r="D225" s="59"/>
    </row>
    <row r="226" spans="4:4" ht="15.75" customHeight="1">
      <c r="D226" s="59"/>
    </row>
    <row r="227" spans="4:4" ht="15.75" customHeight="1">
      <c r="D227" s="59"/>
    </row>
    <row r="228" spans="4:4" ht="15.75" customHeight="1">
      <c r="D228" s="59"/>
    </row>
    <row r="229" spans="4:4" ht="15.75" customHeight="1">
      <c r="D229" s="59"/>
    </row>
    <row r="230" spans="4:4" ht="15.75" customHeight="1">
      <c r="D230" s="59"/>
    </row>
    <row r="231" spans="4:4" ht="15.75" customHeight="1">
      <c r="D231" s="59"/>
    </row>
    <row r="232" spans="4:4" ht="15.75" customHeight="1">
      <c r="D232" s="59"/>
    </row>
    <row r="233" spans="4:4" ht="15.75" customHeight="1">
      <c r="D233" s="59"/>
    </row>
    <row r="234" spans="4:4" ht="15.75" customHeight="1">
      <c r="D234" s="59"/>
    </row>
    <row r="235" spans="4:4" ht="15.75" customHeight="1">
      <c r="D235" s="59"/>
    </row>
    <row r="236" spans="4:4" ht="15.75" customHeight="1">
      <c r="D236" s="59"/>
    </row>
    <row r="237" spans="4:4" ht="15.75" customHeight="1">
      <c r="D237" s="59"/>
    </row>
    <row r="238" spans="4:4" ht="15.75" customHeight="1">
      <c r="D238" s="59"/>
    </row>
    <row r="239" spans="4:4" ht="15.75" customHeight="1">
      <c r="D239" s="59"/>
    </row>
    <row r="240" spans="4:4" ht="15.75" customHeight="1">
      <c r="D240" s="59"/>
    </row>
    <row r="241" spans="4:4" ht="15.75" customHeight="1">
      <c r="D241" s="59"/>
    </row>
    <row r="242" spans="4:4" ht="15.75" customHeight="1">
      <c r="D242" s="59"/>
    </row>
    <row r="243" spans="4:4" ht="15.75" customHeight="1">
      <c r="D243" s="59"/>
    </row>
    <row r="244" spans="4:4" ht="15.75" customHeight="1"/>
    <row r="245" spans="4:4" ht="15.75" customHeight="1"/>
    <row r="246" spans="4:4" ht="15.75" customHeight="1"/>
    <row r="247" spans="4:4" ht="15.75" customHeight="1"/>
    <row r="248" spans="4:4" ht="15.75" customHeight="1"/>
    <row r="249" spans="4:4" ht="15.75" customHeight="1"/>
    <row r="250" spans="4:4" ht="15.75" customHeight="1"/>
    <row r="251" spans="4:4" ht="15.75" customHeight="1"/>
    <row r="252" spans="4:4" ht="15.75" customHeight="1"/>
    <row r="253" spans="4:4" ht="15.75" customHeight="1"/>
    <row r="254" spans="4:4" ht="15.75" customHeight="1"/>
    <row r="255" spans="4:4" ht="15.75" customHeight="1"/>
    <row r="256" spans="4: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30">
    <mergeCell ref="U1:U3"/>
    <mergeCell ref="V1:V3"/>
    <mergeCell ref="W1:W3"/>
    <mergeCell ref="X1:X3"/>
    <mergeCell ref="S2:S3"/>
    <mergeCell ref="O1:S1"/>
    <mergeCell ref="T1:T3"/>
    <mergeCell ref="R2:R3"/>
    <mergeCell ref="Y1:Y3"/>
    <mergeCell ref="Z1:Z3"/>
    <mergeCell ref="AA1:AA3"/>
    <mergeCell ref="A1:A3"/>
    <mergeCell ref="G2:G3"/>
    <mergeCell ref="H2:H3"/>
    <mergeCell ref="I2:I3"/>
    <mergeCell ref="J2:J3"/>
    <mergeCell ref="K2:K3"/>
    <mergeCell ref="L2:L3"/>
    <mergeCell ref="J1:K1"/>
    <mergeCell ref="L1:N1"/>
    <mergeCell ref="M2:N2"/>
    <mergeCell ref="O2:O3"/>
    <mergeCell ref="P2:P3"/>
    <mergeCell ref="Q2:Q3"/>
    <mergeCell ref="B1:B3"/>
    <mergeCell ref="C1:C3"/>
    <mergeCell ref="D1:D3"/>
    <mergeCell ref="E1:E3"/>
    <mergeCell ref="G1:I1"/>
    <mergeCell ref="F1:F3"/>
  </mergeCells>
  <dataValidations count="3">
    <dataValidation type="list" allowBlank="1" showErrorMessage="1" sqref="E4:E21 E24:E29" xr:uid="{00000000-0002-0000-0100-000000000000}">
      <formula1>"Positive,Negative"</formula1>
    </dataValidation>
    <dataValidation type="list" allowBlank="1" showErrorMessage="1" sqref="X4:Y29" xr:uid="{00000000-0002-0000-0100-000001000000}">
      <formula1>"Not Start,Inprogress,Failed,Passed,Skip,block"</formula1>
    </dataValidation>
    <dataValidation type="list" allowBlank="1" showErrorMessage="1" sqref="F4:F29" xr:uid="{AF6CD1F0-3FE4-44B7-AC9D-9CAFAF70734E}">
      <formula1>"Online Channel,Offline Channel(Regression)"</formula1>
    </dataValidation>
  </dataValidations>
  <hyperlinks>
    <hyperlink ref="U4" r:id="rId1" xr:uid="{00000000-0004-0000-0100-000000000000}"/>
    <hyperlink ref="U5" r:id="rId2" xr:uid="{00000000-0004-0000-0100-000001000000}"/>
    <hyperlink ref="U6" r:id="rId3" xr:uid="{00000000-0004-0000-0100-000002000000}"/>
    <hyperlink ref="U7" r:id="rId4" xr:uid="{00000000-0004-0000-0100-000003000000}"/>
    <hyperlink ref="U8" r:id="rId5" xr:uid="{00000000-0004-0000-0100-000004000000}"/>
    <hyperlink ref="U9" r:id="rId6" xr:uid="{00000000-0004-0000-0100-000005000000}"/>
    <hyperlink ref="U12" r:id="rId7" xr:uid="{00000000-0004-0000-0100-000006000000}"/>
    <hyperlink ref="U13" r:id="rId8" xr:uid="{00000000-0004-0000-0100-000007000000}"/>
    <hyperlink ref="Z14" r:id="rId9" xr:uid="{00000000-0004-0000-0100-000008000000}"/>
    <hyperlink ref="U15" r:id="rId10" xr:uid="{00000000-0004-0000-0100-000009000000}"/>
    <hyperlink ref="U17" r:id="rId11" xr:uid="{00000000-0004-0000-0100-00000A000000}"/>
    <hyperlink ref="U19" r:id="rId12" xr:uid="{00000000-0004-0000-0100-00000B000000}"/>
    <hyperlink ref="U21" r:id="rId13" xr:uid="{00000000-0004-0000-0100-00000C000000}"/>
    <hyperlink ref="U25" r:id="rId14" xr:uid="{00000000-0004-0000-0100-00000D000000}"/>
    <hyperlink ref="Z26" r:id="rId15" xr:uid="{00000000-0004-0000-0100-00000E000000}"/>
    <hyperlink ref="U27" r:id="rId16" xr:uid="{00000000-0004-0000-0100-00000F000000}"/>
    <hyperlink ref="Z27" r:id="rId17" xr:uid="{00000000-0004-0000-0100-000010000000}"/>
    <hyperlink ref="U28" r:id="rId18" xr:uid="{00000000-0004-0000-0100-000011000000}"/>
    <hyperlink ref="U22" r:id="rId19" xr:uid="{B0B0E71F-20C3-4109-8A0E-9AFAED4E7495}"/>
    <hyperlink ref="Z23" r:id="rId20" xr:uid="{6197F5ED-8206-426C-9AFA-CAD5166ED16B}"/>
    <hyperlink ref="Z24" r:id="rId21" xr:uid="{0F1C3D57-65D5-47F8-80A1-38C62636303B}"/>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A9728-E8A7-4509-B61D-39A8067CACA6}">
  <sheetPr>
    <tabColor rgb="FF00B050"/>
    <outlinePr summaryBelow="0" summaryRight="0"/>
  </sheetPr>
  <dimension ref="A1:AO979"/>
  <sheetViews>
    <sheetView workbookViewId="0">
      <pane xSplit="5" ySplit="3" topLeftCell="F4" activePane="bottomRight" state="frozen"/>
      <selection pane="bottomRight" activeCell="D5" sqref="D5"/>
      <selection pane="bottomLeft" activeCell="A4" sqref="A4"/>
      <selection pane="topRight" activeCell="E1" sqref="E1"/>
    </sheetView>
  </sheetViews>
  <sheetFormatPr defaultColWidth="12.5703125" defaultRowHeight="15" customHeight="1"/>
  <cols>
    <col min="1" max="1" width="19.42578125" style="87" customWidth="1"/>
    <col min="2" max="2" width="10" style="2" customWidth="1"/>
    <col min="3" max="3" width="21" style="2" customWidth="1"/>
    <col min="4" max="4" width="37.7109375" style="2" customWidth="1"/>
    <col min="5" max="5" width="10.7109375" style="2" customWidth="1"/>
    <col min="6" max="6" width="19.28515625" style="2" customWidth="1"/>
    <col min="7" max="7" width="6.7109375" style="2" customWidth="1"/>
    <col min="8" max="9" width="7.140625" style="2" customWidth="1"/>
    <col min="10" max="10" width="6.85546875" style="2" customWidth="1"/>
    <col min="11" max="11" width="7.28515625" style="2" customWidth="1"/>
    <col min="12" max="12" width="3.7109375" style="2" customWidth="1"/>
    <col min="13" max="13" width="6.7109375" style="2" customWidth="1"/>
    <col min="14" max="14" width="6" style="2" customWidth="1"/>
    <col min="15" max="15" width="6.28515625" style="2" customWidth="1"/>
    <col min="16" max="19" width="5.85546875" style="2" customWidth="1"/>
    <col min="20" max="20" width="76.5703125" style="2" customWidth="1"/>
    <col min="21" max="21" width="68.85546875" style="2" customWidth="1"/>
    <col min="22" max="22" width="23.85546875" style="2" customWidth="1"/>
    <col min="23" max="23" width="24.140625" style="2" customWidth="1"/>
    <col min="24" max="25" width="9.140625" style="2"/>
    <col min="26" max="26" width="30.42578125" style="2" customWidth="1"/>
    <col min="27" max="28" width="9.140625" style="2"/>
    <col min="29" max="16384" width="12.5703125" style="2"/>
  </cols>
  <sheetData>
    <row r="1" spans="1:41" ht="38.25" customHeight="1">
      <c r="A1" s="106" t="s">
        <v>0</v>
      </c>
      <c r="B1" s="106" t="s">
        <v>1</v>
      </c>
      <c r="C1" s="106" t="s">
        <v>2</v>
      </c>
      <c r="D1" s="106" t="s">
        <v>3</v>
      </c>
      <c r="E1" s="105" t="s">
        <v>4</v>
      </c>
      <c r="F1" s="105" t="s">
        <v>5</v>
      </c>
      <c r="G1" s="110" t="s">
        <v>6</v>
      </c>
      <c r="H1" s="110"/>
      <c r="I1" s="110"/>
      <c r="J1" s="110" t="s">
        <v>7</v>
      </c>
      <c r="K1" s="110"/>
      <c r="L1" s="110" t="s">
        <v>8</v>
      </c>
      <c r="M1" s="110"/>
      <c r="N1" s="111"/>
      <c r="O1" s="112" t="s">
        <v>9</v>
      </c>
      <c r="P1" s="110"/>
      <c r="Q1" s="110"/>
      <c r="R1" s="110"/>
      <c r="S1" s="110"/>
      <c r="T1" s="113" t="s">
        <v>10</v>
      </c>
      <c r="U1" s="106" t="s">
        <v>11</v>
      </c>
      <c r="V1" s="106" t="s">
        <v>12</v>
      </c>
      <c r="W1" s="106" t="s">
        <v>13</v>
      </c>
      <c r="X1" s="117" t="s">
        <v>14</v>
      </c>
      <c r="Y1" s="117" t="s">
        <v>15</v>
      </c>
      <c r="Z1" s="106" t="s">
        <v>16</v>
      </c>
      <c r="AA1" s="106" t="s">
        <v>17</v>
      </c>
      <c r="AB1" s="11"/>
      <c r="AC1" s="11"/>
      <c r="AD1" s="11"/>
      <c r="AE1" s="11"/>
      <c r="AF1" s="11"/>
      <c r="AG1" s="11"/>
      <c r="AH1" s="11"/>
      <c r="AI1" s="11"/>
      <c r="AJ1" s="11"/>
      <c r="AK1" s="11"/>
      <c r="AL1" s="11"/>
      <c r="AM1" s="11"/>
      <c r="AN1" s="11"/>
      <c r="AO1" s="11"/>
    </row>
    <row r="2" spans="1:41" ht="21.75" customHeight="1">
      <c r="A2" s="106"/>
      <c r="B2" s="106"/>
      <c r="C2" s="106"/>
      <c r="D2" s="106"/>
      <c r="E2" s="105"/>
      <c r="F2" s="105"/>
      <c r="G2" s="114" t="s">
        <v>18</v>
      </c>
      <c r="H2" s="115" t="s">
        <v>19</v>
      </c>
      <c r="I2" s="116" t="s">
        <v>20</v>
      </c>
      <c r="J2" s="114" t="s">
        <v>21</v>
      </c>
      <c r="K2" s="118" t="s">
        <v>22</v>
      </c>
      <c r="L2" s="114" t="s">
        <v>23</v>
      </c>
      <c r="M2" s="120" t="s">
        <v>24</v>
      </c>
      <c r="N2" s="121"/>
      <c r="O2" s="122" t="s">
        <v>25</v>
      </c>
      <c r="P2" s="123" t="s">
        <v>26</v>
      </c>
      <c r="Q2" s="115" t="s">
        <v>27</v>
      </c>
      <c r="R2" s="115" t="s">
        <v>28</v>
      </c>
      <c r="S2" s="116" t="s">
        <v>29</v>
      </c>
      <c r="T2" s="113"/>
      <c r="U2" s="106"/>
      <c r="V2" s="106"/>
      <c r="W2" s="106"/>
      <c r="X2" s="117"/>
      <c r="Y2" s="117"/>
      <c r="Z2" s="106"/>
      <c r="AA2" s="106"/>
      <c r="AB2" s="11"/>
      <c r="AC2" s="11"/>
      <c r="AD2" s="11"/>
      <c r="AE2" s="11"/>
      <c r="AF2" s="11"/>
      <c r="AG2" s="11"/>
      <c r="AH2" s="11"/>
      <c r="AI2" s="11"/>
      <c r="AJ2" s="11"/>
      <c r="AK2" s="11"/>
      <c r="AL2" s="11"/>
      <c r="AM2" s="11"/>
      <c r="AN2" s="11"/>
      <c r="AO2" s="11"/>
    </row>
    <row r="3" spans="1:41" ht="39" customHeight="1">
      <c r="A3" s="106"/>
      <c r="B3" s="106"/>
      <c r="C3" s="106"/>
      <c r="D3" s="106"/>
      <c r="E3" s="105"/>
      <c r="F3" s="105"/>
      <c r="G3" s="114"/>
      <c r="H3" s="115"/>
      <c r="I3" s="116"/>
      <c r="J3" s="114"/>
      <c r="K3" s="118"/>
      <c r="L3" s="119"/>
      <c r="M3" s="12" t="b">
        <v>1</v>
      </c>
      <c r="N3" s="13" t="s">
        <v>30</v>
      </c>
      <c r="O3" s="122"/>
      <c r="P3" s="123"/>
      <c r="Q3" s="115"/>
      <c r="R3" s="115"/>
      <c r="S3" s="116"/>
      <c r="T3" s="113"/>
      <c r="U3" s="106"/>
      <c r="V3" s="106"/>
      <c r="W3" s="106"/>
      <c r="X3" s="117"/>
      <c r="Y3" s="117"/>
      <c r="Z3" s="106"/>
      <c r="AA3" s="106"/>
      <c r="AB3" s="11"/>
      <c r="AC3" s="11"/>
      <c r="AD3" s="11"/>
      <c r="AE3" s="11"/>
      <c r="AF3" s="11"/>
      <c r="AG3" s="11"/>
      <c r="AH3" s="11"/>
      <c r="AI3" s="11"/>
      <c r="AJ3" s="11"/>
      <c r="AK3" s="11"/>
      <c r="AL3" s="11"/>
      <c r="AM3" s="11"/>
      <c r="AN3" s="11"/>
      <c r="AO3" s="11"/>
    </row>
    <row r="4" spans="1:41" ht="298.5" customHeight="1">
      <c r="A4" s="66" t="s">
        <v>112</v>
      </c>
      <c r="B4" s="67" t="s">
        <v>9</v>
      </c>
      <c r="C4" s="15" t="s">
        <v>98</v>
      </c>
      <c r="D4" s="69" t="s">
        <v>114</v>
      </c>
      <c r="E4" s="70" t="s">
        <v>34</v>
      </c>
      <c r="F4" s="71" t="s">
        <v>35</v>
      </c>
      <c r="G4" s="72" t="s">
        <v>36</v>
      </c>
      <c r="H4" s="73"/>
      <c r="I4" s="73"/>
      <c r="J4" s="74"/>
      <c r="K4" s="74"/>
      <c r="L4" s="73"/>
      <c r="M4" s="72"/>
      <c r="N4" s="72" t="s">
        <v>36</v>
      </c>
      <c r="O4" s="74"/>
      <c r="P4" s="74"/>
      <c r="Q4" s="72" t="s">
        <v>36</v>
      </c>
      <c r="R4" s="74"/>
      <c r="S4" s="74"/>
      <c r="T4" s="75" t="s">
        <v>109</v>
      </c>
      <c r="U4" s="76" t="s">
        <v>115</v>
      </c>
      <c r="V4" s="69" t="s">
        <v>39</v>
      </c>
      <c r="W4" s="69"/>
      <c r="X4" s="77" t="s">
        <v>40</v>
      </c>
      <c r="Y4" s="77" t="s">
        <v>40</v>
      </c>
      <c r="Z4" s="78" t="s">
        <v>116</v>
      </c>
      <c r="AA4" s="79"/>
      <c r="AB4" s="56"/>
      <c r="AC4" s="56"/>
      <c r="AD4" s="56"/>
      <c r="AE4" s="56"/>
      <c r="AF4" s="56"/>
      <c r="AG4" s="56"/>
      <c r="AH4" s="56"/>
      <c r="AI4" s="56"/>
      <c r="AJ4" s="56"/>
      <c r="AK4" s="56"/>
    </row>
    <row r="5" spans="1:41" s="60" customFormat="1" ht="192" customHeight="1">
      <c r="A5" s="14" t="s">
        <v>112</v>
      </c>
      <c r="B5" s="61" t="s">
        <v>9</v>
      </c>
      <c r="C5" s="15" t="s">
        <v>101</v>
      </c>
      <c r="D5" s="61" t="s">
        <v>114</v>
      </c>
      <c r="E5" s="61" t="s">
        <v>34</v>
      </c>
      <c r="F5" s="61" t="s">
        <v>118</v>
      </c>
      <c r="G5" s="48" t="s">
        <v>36</v>
      </c>
      <c r="H5" s="62"/>
      <c r="I5" s="62"/>
      <c r="J5" s="63"/>
      <c r="K5" s="63"/>
      <c r="L5" s="62"/>
      <c r="M5" s="48"/>
      <c r="N5" s="48" t="s">
        <v>36</v>
      </c>
      <c r="O5" s="63"/>
      <c r="P5" s="63"/>
      <c r="Q5" s="48" t="s">
        <v>36</v>
      </c>
      <c r="R5" s="63"/>
      <c r="S5" s="63"/>
      <c r="T5" s="61" t="s">
        <v>119</v>
      </c>
      <c r="U5" s="64" t="s">
        <v>115</v>
      </c>
      <c r="V5" s="61" t="s">
        <v>39</v>
      </c>
      <c r="W5" s="61"/>
      <c r="X5" s="61" t="s">
        <v>40</v>
      </c>
      <c r="Y5" s="61" t="s">
        <v>40</v>
      </c>
      <c r="Z5" s="61" t="s">
        <v>116</v>
      </c>
      <c r="AA5" s="61"/>
      <c r="AB5" s="65"/>
    </row>
    <row r="6" spans="1:41" ht="15.75" customHeight="1">
      <c r="D6" s="59"/>
    </row>
    <row r="7" spans="1:41" ht="15.75" customHeight="1">
      <c r="D7" s="59"/>
    </row>
    <row r="8" spans="1:41" ht="15.75" customHeight="1">
      <c r="D8" s="59"/>
      <c r="V8" s="10" t="s">
        <v>141</v>
      </c>
      <c r="W8" s="1"/>
      <c r="X8" s="1"/>
    </row>
    <row r="9" spans="1:41" ht="15.75" customHeight="1">
      <c r="D9" s="59"/>
      <c r="W9" s="3"/>
      <c r="X9" s="3"/>
    </row>
    <row r="10" spans="1:41" ht="15.75" customHeight="1">
      <c r="D10" s="59"/>
      <c r="W10" s="4" t="s">
        <v>142</v>
      </c>
      <c r="X10" s="4" t="s">
        <v>143</v>
      </c>
    </row>
    <row r="11" spans="1:41" ht="15.75" customHeight="1">
      <c r="D11" s="59"/>
      <c r="V11" s="5" t="s">
        <v>40</v>
      </c>
      <c r="W11" s="7">
        <f>COUNTIF(X4:X5,"Not Start")</f>
        <v>2</v>
      </c>
      <c r="X11" s="7">
        <f>COUNTIF(Y4:Y5,"Not Start")</f>
        <v>2</v>
      </c>
    </row>
    <row r="12" spans="1:41" ht="15.75" customHeight="1">
      <c r="D12" s="59"/>
      <c r="V12" s="5" t="s">
        <v>144</v>
      </c>
      <c r="W12" s="7">
        <f>COUNTIF(X4:X5,"Inprogress")</f>
        <v>0</v>
      </c>
      <c r="X12" s="7">
        <f>COUNTIF(Y4:Y5,"Inprogress")</f>
        <v>0</v>
      </c>
    </row>
    <row r="13" spans="1:41" ht="15.75" customHeight="1">
      <c r="D13" s="59"/>
      <c r="V13" s="5" t="s">
        <v>145</v>
      </c>
      <c r="W13" s="7">
        <f>COUNTIF(X4:X5,"Skip")</f>
        <v>0</v>
      </c>
      <c r="X13" s="7">
        <f>COUNTIF(Y4:Y5,"Skip")</f>
        <v>0</v>
      </c>
    </row>
    <row r="14" spans="1:41" ht="15.75" customHeight="1">
      <c r="D14" s="59"/>
      <c r="V14" s="5" t="s">
        <v>146</v>
      </c>
      <c r="W14" s="7">
        <f>COUNTIF(X4:X5,"Failed")</f>
        <v>0</v>
      </c>
      <c r="X14" s="7">
        <f>COUNTIF(Y4:Y5,"Failed")</f>
        <v>0</v>
      </c>
    </row>
    <row r="15" spans="1:41" ht="15.75" customHeight="1">
      <c r="D15" s="59"/>
      <c r="V15" s="5" t="s">
        <v>147</v>
      </c>
      <c r="W15" s="7">
        <f>COUNTIF(X4:X5,"block")</f>
        <v>0</v>
      </c>
      <c r="X15" s="7">
        <f>COUNTIF(Y4:Y5,"block")</f>
        <v>0</v>
      </c>
    </row>
    <row r="16" spans="1:41" ht="15.75" customHeight="1">
      <c r="D16" s="59"/>
      <c r="V16" s="5" t="s">
        <v>148</v>
      </c>
      <c r="W16" s="6">
        <f>COUNTIF(X4:X5,"Passed")</f>
        <v>0</v>
      </c>
      <c r="X16" s="6">
        <f>COUNTIF(Y4:Y5,"Passed")</f>
        <v>0</v>
      </c>
    </row>
    <row r="17" spans="4:24" ht="15.75" customHeight="1">
      <c r="D17" s="59"/>
    </row>
    <row r="18" spans="4:24" ht="15.75" customHeight="1">
      <c r="D18" s="59"/>
      <c r="W18" s="4" t="s">
        <v>142</v>
      </c>
      <c r="X18" s="4" t="s">
        <v>143</v>
      </c>
    </row>
    <row r="19" spans="4:24" ht="15.75" customHeight="1">
      <c r="D19" s="59"/>
      <c r="V19" s="5" t="s">
        <v>149</v>
      </c>
      <c r="W19" s="8">
        <f t="shared" ref="W19:X19" si="0">W16/(W16+W11+W12+W14)</f>
        <v>0</v>
      </c>
      <c r="X19" s="8">
        <f t="shared" si="0"/>
        <v>0</v>
      </c>
    </row>
    <row r="20" spans="4:24" ht="15.75" customHeight="1">
      <c r="D20" s="59"/>
    </row>
    <row r="21" spans="4:24" ht="15.75" customHeight="1">
      <c r="D21" s="59"/>
    </row>
    <row r="22" spans="4:24" ht="15.75" customHeight="1">
      <c r="D22" s="59"/>
    </row>
    <row r="23" spans="4:24" ht="15.75" customHeight="1">
      <c r="D23" s="59"/>
    </row>
    <row r="24" spans="4:24" ht="15.75" customHeight="1">
      <c r="D24" s="59"/>
    </row>
    <row r="25" spans="4:24" ht="15.75" customHeight="1">
      <c r="D25" s="59"/>
    </row>
    <row r="26" spans="4:24" ht="15.75" customHeight="1">
      <c r="D26" s="59"/>
    </row>
    <row r="27" spans="4:24" ht="15.75" customHeight="1">
      <c r="D27" s="59"/>
    </row>
    <row r="28" spans="4:24" ht="15.75" customHeight="1">
      <c r="D28" s="59"/>
    </row>
    <row r="29" spans="4:24" ht="15.75" customHeight="1">
      <c r="D29" s="59"/>
    </row>
    <row r="30" spans="4:24" ht="15.75" customHeight="1">
      <c r="D30" s="59"/>
    </row>
    <row r="31" spans="4:24" ht="15.75" customHeight="1">
      <c r="D31" s="59"/>
    </row>
    <row r="32" spans="4:24" ht="15.75" customHeight="1">
      <c r="D32" s="59"/>
    </row>
    <row r="33" spans="4:4" ht="15.75" customHeight="1">
      <c r="D33" s="59"/>
    </row>
    <row r="34" spans="4:4" ht="15.75" customHeight="1">
      <c r="D34" s="59"/>
    </row>
    <row r="35" spans="4:4" ht="15.75" customHeight="1">
      <c r="D35" s="59"/>
    </row>
    <row r="36" spans="4:4" ht="15.75" customHeight="1">
      <c r="D36" s="59"/>
    </row>
    <row r="37" spans="4:4" ht="15.75" customHeight="1">
      <c r="D37" s="59"/>
    </row>
    <row r="38" spans="4:4" ht="15.75" customHeight="1">
      <c r="D38" s="59"/>
    </row>
    <row r="39" spans="4:4" ht="15.75" customHeight="1">
      <c r="D39" s="59"/>
    </row>
    <row r="40" spans="4:4" ht="15.75" customHeight="1">
      <c r="D40" s="59"/>
    </row>
    <row r="41" spans="4:4" ht="15.75" customHeight="1">
      <c r="D41" s="59"/>
    </row>
    <row r="42" spans="4:4" ht="15.75" customHeight="1">
      <c r="D42" s="59"/>
    </row>
    <row r="43" spans="4:4" ht="15.75" customHeight="1">
      <c r="D43" s="59"/>
    </row>
    <row r="44" spans="4:4" ht="15.75" customHeight="1">
      <c r="D44" s="59"/>
    </row>
    <row r="45" spans="4:4" ht="15.75" customHeight="1">
      <c r="D45" s="59"/>
    </row>
    <row r="46" spans="4:4" ht="15.75" customHeight="1">
      <c r="D46" s="59"/>
    </row>
    <row r="47" spans="4:4" ht="15.75" customHeight="1">
      <c r="D47" s="59"/>
    </row>
    <row r="48" spans="4:4" ht="15.75" customHeight="1">
      <c r="D48" s="59"/>
    </row>
    <row r="49" spans="4:4" ht="15.75" customHeight="1">
      <c r="D49" s="59"/>
    </row>
    <row r="50" spans="4:4" ht="15.75" customHeight="1">
      <c r="D50" s="59"/>
    </row>
    <row r="51" spans="4:4" ht="15.75" customHeight="1">
      <c r="D51" s="59"/>
    </row>
    <row r="52" spans="4:4" ht="15.75" customHeight="1">
      <c r="D52" s="59"/>
    </row>
    <row r="53" spans="4:4" ht="15.75" customHeight="1">
      <c r="D53" s="59"/>
    </row>
    <row r="54" spans="4:4" ht="15.75" customHeight="1">
      <c r="D54" s="59"/>
    </row>
    <row r="55" spans="4:4" ht="15.75" customHeight="1">
      <c r="D55" s="59"/>
    </row>
    <row r="56" spans="4:4" ht="15.75" customHeight="1">
      <c r="D56" s="59"/>
    </row>
    <row r="57" spans="4:4" ht="15.75" customHeight="1">
      <c r="D57" s="59"/>
    </row>
    <row r="58" spans="4:4" ht="15.75" customHeight="1">
      <c r="D58" s="59"/>
    </row>
    <row r="59" spans="4:4" ht="15.75" customHeight="1">
      <c r="D59" s="59"/>
    </row>
    <row r="60" spans="4:4" ht="15.75" customHeight="1">
      <c r="D60" s="59"/>
    </row>
    <row r="61" spans="4:4" ht="15.75" customHeight="1">
      <c r="D61" s="59"/>
    </row>
    <row r="62" spans="4:4" ht="15.75" customHeight="1">
      <c r="D62" s="59"/>
    </row>
    <row r="63" spans="4:4" ht="15.75" customHeight="1">
      <c r="D63" s="59"/>
    </row>
    <row r="64" spans="4:4" ht="15.75" customHeight="1">
      <c r="D64" s="59"/>
    </row>
    <row r="65" spans="4:4" ht="15.75" customHeight="1">
      <c r="D65" s="59"/>
    </row>
    <row r="66" spans="4:4" ht="15.75" customHeight="1">
      <c r="D66" s="59"/>
    </row>
    <row r="67" spans="4:4" ht="15.75" customHeight="1">
      <c r="D67" s="59"/>
    </row>
    <row r="68" spans="4:4" ht="15.75" customHeight="1">
      <c r="D68" s="59"/>
    </row>
    <row r="69" spans="4:4" ht="15.75" customHeight="1">
      <c r="D69" s="59"/>
    </row>
    <row r="70" spans="4:4" ht="15.75" customHeight="1">
      <c r="D70" s="59"/>
    </row>
    <row r="71" spans="4:4" ht="15.75" customHeight="1">
      <c r="D71" s="59"/>
    </row>
    <row r="72" spans="4:4" ht="15.75" customHeight="1">
      <c r="D72" s="59"/>
    </row>
    <row r="73" spans="4:4" ht="15.75" customHeight="1">
      <c r="D73" s="59"/>
    </row>
    <row r="74" spans="4:4" ht="15.75" customHeight="1">
      <c r="D74" s="59"/>
    </row>
    <row r="75" spans="4:4" ht="15.75" customHeight="1">
      <c r="D75" s="59"/>
    </row>
    <row r="76" spans="4:4" ht="15.75" customHeight="1">
      <c r="D76" s="59"/>
    </row>
    <row r="77" spans="4:4" ht="15.75" customHeight="1">
      <c r="D77" s="59"/>
    </row>
    <row r="78" spans="4:4" ht="15.75" customHeight="1">
      <c r="D78" s="59"/>
    </row>
    <row r="79" spans="4:4" ht="15.75" customHeight="1">
      <c r="D79" s="59"/>
    </row>
    <row r="80" spans="4:4" ht="15.75" customHeight="1">
      <c r="D80" s="59"/>
    </row>
    <row r="81" spans="4:4" ht="15.75" customHeight="1">
      <c r="D81" s="59"/>
    </row>
    <row r="82" spans="4:4" ht="15.75" customHeight="1">
      <c r="D82" s="59"/>
    </row>
    <row r="83" spans="4:4" ht="15.75" customHeight="1">
      <c r="D83" s="59"/>
    </row>
    <row r="84" spans="4:4" ht="15.75" customHeight="1">
      <c r="D84" s="59"/>
    </row>
    <row r="85" spans="4:4" ht="15.75" customHeight="1">
      <c r="D85" s="59"/>
    </row>
    <row r="86" spans="4:4" ht="15.75" customHeight="1">
      <c r="D86" s="59"/>
    </row>
    <row r="87" spans="4:4" ht="15.75" customHeight="1">
      <c r="D87" s="59"/>
    </row>
    <row r="88" spans="4:4" ht="15.75" customHeight="1">
      <c r="D88" s="59"/>
    </row>
    <row r="89" spans="4:4" ht="15.75" customHeight="1">
      <c r="D89" s="59"/>
    </row>
    <row r="90" spans="4:4" ht="15.75" customHeight="1">
      <c r="D90" s="59"/>
    </row>
    <row r="91" spans="4:4" ht="15.75" customHeight="1">
      <c r="D91" s="59"/>
    </row>
    <row r="92" spans="4:4" ht="15.75" customHeight="1">
      <c r="D92" s="59"/>
    </row>
    <row r="93" spans="4:4" ht="15.75" customHeight="1">
      <c r="D93" s="59"/>
    </row>
    <row r="94" spans="4:4" ht="15.75" customHeight="1">
      <c r="D94" s="59"/>
    </row>
    <row r="95" spans="4:4" ht="15.75" customHeight="1">
      <c r="D95" s="59"/>
    </row>
    <row r="96" spans="4:4" ht="15.75" customHeight="1">
      <c r="D96" s="59"/>
    </row>
    <row r="97" spans="4:4" ht="15.75" customHeight="1">
      <c r="D97" s="59"/>
    </row>
    <row r="98" spans="4:4" ht="15.75" customHeight="1">
      <c r="D98" s="59"/>
    </row>
    <row r="99" spans="4:4" ht="15.75" customHeight="1">
      <c r="D99" s="59"/>
    </row>
    <row r="100" spans="4:4" ht="15.75" customHeight="1">
      <c r="D100" s="59"/>
    </row>
    <row r="101" spans="4:4" ht="15.75" customHeight="1">
      <c r="D101" s="59"/>
    </row>
    <row r="102" spans="4:4" ht="15.75" customHeight="1">
      <c r="D102" s="59"/>
    </row>
    <row r="103" spans="4:4" ht="15.75" customHeight="1">
      <c r="D103" s="59"/>
    </row>
    <row r="104" spans="4:4" ht="15.75" customHeight="1">
      <c r="D104" s="59"/>
    </row>
    <row r="105" spans="4:4" ht="15.75" customHeight="1">
      <c r="D105" s="59"/>
    </row>
    <row r="106" spans="4:4" ht="15.75" customHeight="1">
      <c r="D106" s="59"/>
    </row>
    <row r="107" spans="4:4" ht="15.75" customHeight="1">
      <c r="D107" s="59"/>
    </row>
    <row r="108" spans="4:4" ht="15.75" customHeight="1">
      <c r="D108" s="59"/>
    </row>
    <row r="109" spans="4:4" ht="15.75" customHeight="1">
      <c r="D109" s="59"/>
    </row>
    <row r="110" spans="4:4" ht="15.75" customHeight="1">
      <c r="D110" s="59"/>
    </row>
    <row r="111" spans="4:4" ht="15.75" customHeight="1">
      <c r="D111" s="59"/>
    </row>
    <row r="112" spans="4:4" ht="15.75" customHeight="1">
      <c r="D112" s="59"/>
    </row>
    <row r="113" spans="4:4" ht="15.75" customHeight="1">
      <c r="D113" s="59"/>
    </row>
    <row r="114" spans="4:4" ht="15.75" customHeight="1">
      <c r="D114" s="59"/>
    </row>
    <row r="115" spans="4:4" ht="15.75" customHeight="1">
      <c r="D115" s="59"/>
    </row>
    <row r="116" spans="4:4" ht="15.75" customHeight="1">
      <c r="D116" s="59"/>
    </row>
    <row r="117" spans="4:4" ht="15.75" customHeight="1">
      <c r="D117" s="59"/>
    </row>
    <row r="118" spans="4:4" ht="15.75" customHeight="1">
      <c r="D118" s="59"/>
    </row>
    <row r="119" spans="4:4" ht="15.75" customHeight="1">
      <c r="D119" s="59"/>
    </row>
    <row r="120" spans="4:4" ht="15.75" customHeight="1">
      <c r="D120" s="59"/>
    </row>
    <row r="121" spans="4:4" ht="15.75" customHeight="1">
      <c r="D121" s="59"/>
    </row>
    <row r="122" spans="4:4" ht="15.75" customHeight="1">
      <c r="D122" s="59"/>
    </row>
    <row r="123" spans="4:4" ht="15.75" customHeight="1">
      <c r="D123" s="59"/>
    </row>
    <row r="124" spans="4:4" ht="15.75" customHeight="1">
      <c r="D124" s="59"/>
    </row>
    <row r="125" spans="4:4" ht="15.75" customHeight="1">
      <c r="D125" s="59"/>
    </row>
    <row r="126" spans="4:4" ht="15.75" customHeight="1">
      <c r="D126" s="59"/>
    </row>
    <row r="127" spans="4:4" ht="15.75" customHeight="1">
      <c r="D127" s="59"/>
    </row>
    <row r="128" spans="4:4" ht="15.75" customHeight="1">
      <c r="D128" s="59"/>
    </row>
    <row r="129" spans="4:4" ht="15.75" customHeight="1">
      <c r="D129" s="59"/>
    </row>
    <row r="130" spans="4:4" ht="15.75" customHeight="1">
      <c r="D130" s="59"/>
    </row>
    <row r="131" spans="4:4" ht="15.75" customHeight="1">
      <c r="D131" s="59"/>
    </row>
    <row r="132" spans="4:4" ht="15.75" customHeight="1">
      <c r="D132" s="59"/>
    </row>
    <row r="133" spans="4:4" ht="15.75" customHeight="1">
      <c r="D133" s="59"/>
    </row>
    <row r="134" spans="4:4" ht="15.75" customHeight="1">
      <c r="D134" s="59"/>
    </row>
    <row r="135" spans="4:4" ht="15.75" customHeight="1">
      <c r="D135" s="59"/>
    </row>
    <row r="136" spans="4:4" ht="15.75" customHeight="1">
      <c r="D136" s="59"/>
    </row>
    <row r="137" spans="4:4" ht="15.75" customHeight="1">
      <c r="D137" s="59"/>
    </row>
    <row r="138" spans="4:4" ht="15.75" customHeight="1">
      <c r="D138" s="59"/>
    </row>
    <row r="139" spans="4:4" ht="15.75" customHeight="1">
      <c r="D139" s="59"/>
    </row>
    <row r="140" spans="4:4" ht="15.75" customHeight="1">
      <c r="D140" s="59"/>
    </row>
    <row r="141" spans="4:4" ht="15.75" customHeight="1">
      <c r="D141" s="59"/>
    </row>
    <row r="142" spans="4:4" ht="15.75" customHeight="1">
      <c r="D142" s="59"/>
    </row>
    <row r="143" spans="4:4" ht="15.75" customHeight="1">
      <c r="D143" s="59"/>
    </row>
    <row r="144" spans="4:4" ht="15.75" customHeight="1">
      <c r="D144" s="59"/>
    </row>
    <row r="145" spans="4:4" ht="15.75" customHeight="1">
      <c r="D145" s="59"/>
    </row>
    <row r="146" spans="4:4" ht="15.75" customHeight="1">
      <c r="D146" s="59"/>
    </row>
    <row r="147" spans="4:4" ht="15.75" customHeight="1">
      <c r="D147" s="59"/>
    </row>
    <row r="148" spans="4:4" ht="15.75" customHeight="1">
      <c r="D148" s="59"/>
    </row>
    <row r="149" spans="4:4" ht="15.75" customHeight="1">
      <c r="D149" s="59"/>
    </row>
    <row r="150" spans="4:4" ht="15.75" customHeight="1">
      <c r="D150" s="59"/>
    </row>
    <row r="151" spans="4:4" ht="15.75" customHeight="1">
      <c r="D151" s="59"/>
    </row>
    <row r="152" spans="4:4" ht="15.75" customHeight="1">
      <c r="D152" s="59"/>
    </row>
    <row r="153" spans="4:4" ht="15.75" customHeight="1">
      <c r="D153" s="59"/>
    </row>
    <row r="154" spans="4:4" ht="15.75" customHeight="1">
      <c r="D154" s="59"/>
    </row>
    <row r="155" spans="4:4" ht="15.75" customHeight="1">
      <c r="D155" s="59"/>
    </row>
    <row r="156" spans="4:4" ht="15.75" customHeight="1">
      <c r="D156" s="59"/>
    </row>
    <row r="157" spans="4:4" ht="15.75" customHeight="1">
      <c r="D157" s="59"/>
    </row>
    <row r="158" spans="4:4" ht="15.75" customHeight="1">
      <c r="D158" s="59"/>
    </row>
    <row r="159" spans="4:4" ht="15.75" customHeight="1">
      <c r="D159" s="59"/>
    </row>
    <row r="160" spans="4:4" ht="15.75" customHeight="1">
      <c r="D160" s="59"/>
    </row>
    <row r="161" spans="4:4" ht="15.75" customHeight="1">
      <c r="D161" s="59"/>
    </row>
    <row r="162" spans="4:4" ht="15.75" customHeight="1">
      <c r="D162" s="59"/>
    </row>
    <row r="163" spans="4:4" ht="15.75" customHeight="1">
      <c r="D163" s="59"/>
    </row>
    <row r="164" spans="4:4" ht="15.75" customHeight="1">
      <c r="D164" s="59"/>
    </row>
    <row r="165" spans="4:4" ht="15.75" customHeight="1">
      <c r="D165" s="59"/>
    </row>
    <row r="166" spans="4:4" ht="15.75" customHeight="1">
      <c r="D166" s="59"/>
    </row>
    <row r="167" spans="4:4" ht="15.75" customHeight="1">
      <c r="D167" s="59"/>
    </row>
    <row r="168" spans="4:4" ht="15.75" customHeight="1">
      <c r="D168" s="59"/>
    </row>
    <row r="169" spans="4:4" ht="15.75" customHeight="1">
      <c r="D169" s="59"/>
    </row>
    <row r="170" spans="4:4" ht="15.75" customHeight="1">
      <c r="D170" s="59"/>
    </row>
    <row r="171" spans="4:4" ht="15.75" customHeight="1">
      <c r="D171" s="59"/>
    </row>
    <row r="172" spans="4:4" ht="15.75" customHeight="1">
      <c r="D172" s="59"/>
    </row>
    <row r="173" spans="4:4" ht="15.75" customHeight="1">
      <c r="D173" s="59"/>
    </row>
    <row r="174" spans="4:4" ht="15.75" customHeight="1">
      <c r="D174" s="59"/>
    </row>
    <row r="175" spans="4:4" ht="15.75" customHeight="1">
      <c r="D175" s="59"/>
    </row>
    <row r="176" spans="4:4" ht="15.75" customHeight="1">
      <c r="D176" s="59"/>
    </row>
    <row r="177" spans="4:4" ht="15.75" customHeight="1">
      <c r="D177" s="59"/>
    </row>
    <row r="178" spans="4:4" ht="15.75" customHeight="1">
      <c r="D178" s="59"/>
    </row>
    <row r="179" spans="4:4" ht="15.75" customHeight="1">
      <c r="D179" s="59"/>
    </row>
    <row r="180" spans="4:4" ht="15.75" customHeight="1">
      <c r="D180" s="59"/>
    </row>
    <row r="181" spans="4:4" ht="15.75" customHeight="1">
      <c r="D181" s="59"/>
    </row>
    <row r="182" spans="4:4" ht="15.75" customHeight="1">
      <c r="D182" s="59"/>
    </row>
    <row r="183" spans="4:4" ht="15.75" customHeight="1">
      <c r="D183" s="59"/>
    </row>
    <row r="184" spans="4:4" ht="15.75" customHeight="1">
      <c r="D184" s="59"/>
    </row>
    <row r="185" spans="4:4" ht="15.75" customHeight="1">
      <c r="D185" s="59"/>
    </row>
    <row r="186" spans="4:4" ht="15.75" customHeight="1">
      <c r="D186" s="59"/>
    </row>
    <row r="187" spans="4:4" ht="15.75" customHeight="1">
      <c r="D187" s="59"/>
    </row>
    <row r="188" spans="4:4" ht="15.75" customHeight="1">
      <c r="D188" s="59"/>
    </row>
    <row r="189" spans="4:4" ht="15.75" customHeight="1">
      <c r="D189" s="59"/>
    </row>
    <row r="190" spans="4:4" ht="15.75" customHeight="1">
      <c r="D190" s="59"/>
    </row>
    <row r="191" spans="4:4" ht="15.75" customHeight="1">
      <c r="D191" s="59"/>
    </row>
    <row r="192" spans="4:4" ht="15.75" customHeight="1">
      <c r="D192" s="59"/>
    </row>
    <row r="193" spans="4:4" ht="15.75" customHeight="1">
      <c r="D193" s="59"/>
    </row>
    <row r="194" spans="4:4" ht="15.75" customHeight="1">
      <c r="D194" s="59"/>
    </row>
    <row r="195" spans="4:4" ht="15.75" customHeight="1">
      <c r="D195" s="59"/>
    </row>
    <row r="196" spans="4:4" ht="15.75" customHeight="1">
      <c r="D196" s="59"/>
    </row>
    <row r="197" spans="4:4" ht="15.75" customHeight="1">
      <c r="D197" s="59"/>
    </row>
    <row r="198" spans="4:4" ht="15.75" customHeight="1">
      <c r="D198" s="59"/>
    </row>
    <row r="199" spans="4:4" ht="15.75" customHeight="1">
      <c r="D199" s="59"/>
    </row>
    <row r="200" spans="4:4" ht="15.75" customHeight="1">
      <c r="D200" s="59"/>
    </row>
    <row r="201" spans="4:4" ht="15.75" customHeight="1">
      <c r="D201" s="59"/>
    </row>
    <row r="202" spans="4:4" ht="15.75" customHeight="1">
      <c r="D202" s="59"/>
    </row>
    <row r="203" spans="4:4" ht="15.75" customHeight="1">
      <c r="D203" s="59"/>
    </row>
    <row r="204" spans="4:4" ht="15.75" customHeight="1">
      <c r="D204" s="59"/>
    </row>
    <row r="205" spans="4:4" ht="15.75" customHeight="1">
      <c r="D205" s="59"/>
    </row>
    <row r="206" spans="4:4" ht="15.75" customHeight="1">
      <c r="D206" s="59"/>
    </row>
    <row r="207" spans="4:4" ht="15.75" customHeight="1">
      <c r="D207" s="59"/>
    </row>
    <row r="208" spans="4:4" ht="15.75" customHeight="1">
      <c r="D208" s="59"/>
    </row>
    <row r="209" spans="4:4" ht="15.75" customHeight="1">
      <c r="D209" s="59"/>
    </row>
    <row r="210" spans="4:4" ht="15.75" customHeight="1">
      <c r="D210" s="59"/>
    </row>
    <row r="211" spans="4:4" ht="15.75" customHeight="1">
      <c r="D211" s="59"/>
    </row>
    <row r="212" spans="4:4" ht="15.75" customHeight="1">
      <c r="D212" s="59"/>
    </row>
    <row r="213" spans="4:4" ht="15.75" customHeight="1">
      <c r="D213" s="59"/>
    </row>
    <row r="214" spans="4:4" ht="15.75" customHeight="1">
      <c r="D214" s="59"/>
    </row>
    <row r="215" spans="4:4" ht="15.75" customHeight="1">
      <c r="D215" s="59"/>
    </row>
    <row r="216" spans="4:4" ht="15.75" customHeight="1">
      <c r="D216" s="59"/>
    </row>
    <row r="217" spans="4:4" ht="15.75" customHeight="1">
      <c r="D217" s="59"/>
    </row>
    <row r="218" spans="4:4" ht="15.75" customHeight="1">
      <c r="D218" s="59"/>
    </row>
    <row r="219" spans="4:4" ht="15.75" customHeight="1">
      <c r="D219" s="59"/>
    </row>
    <row r="220" spans="4:4" ht="15.75" customHeight="1"/>
    <row r="221" spans="4:4" ht="15.75" customHeight="1"/>
    <row r="222" spans="4:4" ht="15.75" customHeight="1"/>
    <row r="223" spans="4:4" ht="15.75" customHeight="1"/>
    <row r="224" spans="4: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30">
    <mergeCell ref="R2:R3"/>
    <mergeCell ref="S2:S3"/>
    <mergeCell ref="K2:K3"/>
    <mergeCell ref="L2:L3"/>
    <mergeCell ref="M2:N2"/>
    <mergeCell ref="O2:O3"/>
    <mergeCell ref="P2:P3"/>
    <mergeCell ref="Q2:Q3"/>
    <mergeCell ref="AA1:AA3"/>
    <mergeCell ref="G1:I1"/>
    <mergeCell ref="J1:K1"/>
    <mergeCell ref="L1:N1"/>
    <mergeCell ref="O1:S1"/>
    <mergeCell ref="T1:T3"/>
    <mergeCell ref="U1:U3"/>
    <mergeCell ref="G2:G3"/>
    <mergeCell ref="H2:H3"/>
    <mergeCell ref="I2:I3"/>
    <mergeCell ref="J2:J3"/>
    <mergeCell ref="V1:V3"/>
    <mergeCell ref="W1:W3"/>
    <mergeCell ref="X1:X3"/>
    <mergeCell ref="Y1:Y3"/>
    <mergeCell ref="Z1:Z3"/>
    <mergeCell ref="F1:F3"/>
    <mergeCell ref="A1:A3"/>
    <mergeCell ref="B1:B3"/>
    <mergeCell ref="C1:C3"/>
    <mergeCell ref="D1:D3"/>
    <mergeCell ref="E1:E3"/>
  </mergeCells>
  <dataValidations count="3">
    <dataValidation type="list" allowBlank="1" showErrorMessage="1" sqref="E5" xr:uid="{00DFCBA5-6201-4C34-B990-89CA1BE975D4}">
      <formula1>"Positive,Negative"</formula1>
    </dataValidation>
    <dataValidation type="list" allowBlank="1" showErrorMessage="1" sqref="F4:F5" xr:uid="{1C6E727B-1D81-464B-ACA6-FEC0B101018C}">
      <formula1>"Online Channel,Offline Channel(Regression)"</formula1>
    </dataValidation>
    <dataValidation type="list" allowBlank="1" showErrorMessage="1" sqref="X4:Y5" xr:uid="{F84C3C88-3F0B-4985-9807-69ECAA841ED2}">
      <formula1>"Not Start,Inprogress,Failed,Passed,Skip,block"</formula1>
    </dataValidation>
  </dataValidations>
  <hyperlinks>
    <hyperlink ref="Z4" r:id="rId1" xr:uid="{C2B612BD-4B53-4F6C-9553-B84A9F73FCC5}"/>
    <hyperlink ref="Z5" r:id="rId2" xr:uid="{22FF17F1-CFCC-4131-A170-AC8B75F45092}"/>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288A2-84B8-421C-8134-F6D32B2BB501}">
  <dimension ref="A1"/>
  <sheetViews>
    <sheetView workbookViewId="0"/>
  </sheetViews>
  <sheetFormatPr defaultRowHeight="12.7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BB75F-A8A7-46DF-9024-510E08D78ABD}">
  <sheetPr>
    <tabColor rgb="FF00B050"/>
    <outlinePr summaryBelow="0" summaryRight="0"/>
  </sheetPr>
  <dimension ref="A1:AT999"/>
  <sheetViews>
    <sheetView tabSelected="1" workbookViewId="0">
      <pane xSplit="10" ySplit="3" topLeftCell="AB17" activePane="bottomRight" state="frozen"/>
      <selection pane="bottomRight" activeCell="AE18" sqref="AE18"/>
      <selection pane="bottomLeft" activeCell="A4" sqref="A4"/>
      <selection pane="topRight" activeCell="E1" sqref="E1"/>
    </sheetView>
  </sheetViews>
  <sheetFormatPr defaultColWidth="12.5703125" defaultRowHeight="15" customHeight="1"/>
  <cols>
    <col min="1" max="2" width="19.42578125" style="87" hidden="1" customWidth="1"/>
    <col min="3" max="3" width="10" style="2" hidden="1" customWidth="1"/>
    <col min="4" max="4" width="10" style="2" customWidth="1"/>
    <col min="5" max="5" width="13.7109375" style="2" customWidth="1"/>
    <col min="6" max="6" width="12.5703125" style="2" customWidth="1"/>
    <col min="7" max="7" width="16.7109375" style="2" customWidth="1"/>
    <col min="8" max="8" width="21" style="2" customWidth="1"/>
    <col min="9" max="9" width="37.7109375" style="2" customWidth="1"/>
    <col min="10" max="10" width="10.7109375" style="2" customWidth="1"/>
    <col min="11" max="11" width="19.28515625" style="2" customWidth="1"/>
    <col min="12" max="12" width="6.7109375" style="2" customWidth="1"/>
    <col min="13" max="14" width="7.140625" style="2" customWidth="1"/>
    <col min="15" max="15" width="6.85546875" style="2" customWidth="1"/>
    <col min="16" max="16" width="7.28515625" style="2" customWidth="1"/>
    <col min="17" max="17" width="3.7109375" style="2" customWidth="1"/>
    <col min="18" max="18" width="7.140625" style="2" customWidth="1"/>
    <col min="19" max="19" width="5.7109375" style="2" customWidth="1"/>
    <col min="20" max="20" width="7" style="2" customWidth="1"/>
    <col min="21" max="22" width="5.85546875" style="2" customWidth="1"/>
    <col min="23" max="23" width="6.85546875" style="2" customWidth="1"/>
    <col min="24" max="24" width="5.85546875" style="2" customWidth="1"/>
    <col min="25" max="25" width="76.5703125" style="2" hidden="1" customWidth="1"/>
    <col min="26" max="26" width="68.85546875" style="2" customWidth="1"/>
    <col min="27" max="27" width="23.85546875" style="2" customWidth="1"/>
    <col min="28" max="28" width="24.140625" style="2" customWidth="1"/>
    <col min="29" max="30" width="9.140625" style="2"/>
    <col min="31" max="31" width="61.42578125" style="2" customWidth="1"/>
    <col min="32" max="33" width="9.140625" style="2"/>
    <col min="34" max="16384" width="12.5703125" style="2"/>
  </cols>
  <sheetData>
    <row r="1" spans="1:46" ht="38.25" customHeight="1">
      <c r="A1" s="106" t="s">
        <v>150</v>
      </c>
      <c r="B1" s="106" t="s">
        <v>151</v>
      </c>
      <c r="C1" s="106" t="s">
        <v>1</v>
      </c>
      <c r="D1" s="109" t="s">
        <v>152</v>
      </c>
      <c r="E1" s="109"/>
      <c r="F1" s="109" t="s">
        <v>153</v>
      </c>
      <c r="G1" s="109"/>
      <c r="H1" s="106" t="s">
        <v>2</v>
      </c>
      <c r="I1" s="106" t="s">
        <v>3</v>
      </c>
      <c r="J1" s="105" t="s">
        <v>4</v>
      </c>
      <c r="K1" s="105" t="s">
        <v>5</v>
      </c>
      <c r="L1" s="110" t="s">
        <v>6</v>
      </c>
      <c r="M1" s="110"/>
      <c r="N1" s="110"/>
      <c r="O1" s="110" t="s">
        <v>7</v>
      </c>
      <c r="P1" s="110"/>
      <c r="Q1" s="110" t="s">
        <v>8</v>
      </c>
      <c r="R1" s="110"/>
      <c r="S1" s="111"/>
      <c r="T1" s="112" t="s">
        <v>9</v>
      </c>
      <c r="U1" s="110"/>
      <c r="V1" s="110"/>
      <c r="W1" s="110"/>
      <c r="X1" s="110"/>
      <c r="Y1" s="113" t="s">
        <v>10</v>
      </c>
      <c r="Z1" s="106" t="s">
        <v>11</v>
      </c>
      <c r="AA1" s="106" t="s">
        <v>12</v>
      </c>
      <c r="AB1" s="106" t="s">
        <v>13</v>
      </c>
      <c r="AC1" s="117" t="s">
        <v>14</v>
      </c>
      <c r="AD1" s="117" t="s">
        <v>15</v>
      </c>
      <c r="AE1" s="106" t="s">
        <v>16</v>
      </c>
      <c r="AF1" s="106" t="s">
        <v>17</v>
      </c>
      <c r="AG1" s="11"/>
      <c r="AH1" s="11"/>
      <c r="AI1" s="11"/>
      <c r="AJ1" s="11"/>
      <c r="AK1" s="11"/>
      <c r="AL1" s="11"/>
      <c r="AM1" s="11"/>
      <c r="AN1" s="11"/>
      <c r="AO1" s="11"/>
      <c r="AP1" s="11"/>
      <c r="AQ1" s="11"/>
      <c r="AR1" s="11"/>
      <c r="AS1" s="11"/>
      <c r="AT1" s="11"/>
    </row>
    <row r="2" spans="1:46" ht="21.75" customHeight="1">
      <c r="A2" s="106"/>
      <c r="B2" s="107"/>
      <c r="C2" s="106"/>
      <c r="D2" s="109"/>
      <c r="E2" s="109"/>
      <c r="F2" s="109"/>
      <c r="G2" s="109"/>
      <c r="H2" s="106"/>
      <c r="I2" s="106"/>
      <c r="J2" s="105"/>
      <c r="K2" s="105"/>
      <c r="L2" s="114" t="s">
        <v>18</v>
      </c>
      <c r="M2" s="115" t="s">
        <v>19</v>
      </c>
      <c r="N2" s="116" t="s">
        <v>20</v>
      </c>
      <c r="O2" s="114" t="s">
        <v>21</v>
      </c>
      <c r="P2" s="118" t="s">
        <v>22</v>
      </c>
      <c r="Q2" s="114" t="s">
        <v>23</v>
      </c>
      <c r="R2" s="120" t="s">
        <v>24</v>
      </c>
      <c r="S2" s="121"/>
      <c r="T2" s="122" t="s">
        <v>25</v>
      </c>
      <c r="U2" s="123" t="s">
        <v>26</v>
      </c>
      <c r="V2" s="115" t="s">
        <v>27</v>
      </c>
      <c r="W2" s="115" t="s">
        <v>28</v>
      </c>
      <c r="X2" s="116" t="s">
        <v>29</v>
      </c>
      <c r="Y2" s="113"/>
      <c r="Z2" s="106"/>
      <c r="AA2" s="106"/>
      <c r="AB2" s="106"/>
      <c r="AC2" s="117"/>
      <c r="AD2" s="117"/>
      <c r="AE2" s="106"/>
      <c r="AF2" s="106"/>
      <c r="AG2" s="11"/>
      <c r="AH2" s="11"/>
      <c r="AI2" s="11"/>
      <c r="AJ2" s="11"/>
      <c r="AK2" s="11"/>
      <c r="AL2" s="11"/>
      <c r="AM2" s="11"/>
      <c r="AN2" s="11"/>
      <c r="AO2" s="11"/>
      <c r="AP2" s="11"/>
      <c r="AQ2" s="11"/>
      <c r="AR2" s="11"/>
      <c r="AS2" s="11"/>
      <c r="AT2" s="11"/>
    </row>
    <row r="3" spans="1:46" ht="39" customHeight="1">
      <c r="A3" s="106"/>
      <c r="B3" s="108"/>
      <c r="C3" s="106"/>
      <c r="D3" s="88" t="s">
        <v>154</v>
      </c>
      <c r="E3" s="88" t="s">
        <v>155</v>
      </c>
      <c r="F3" s="88" t="s">
        <v>154</v>
      </c>
      <c r="G3" s="88" t="s">
        <v>155</v>
      </c>
      <c r="H3" s="106"/>
      <c r="I3" s="106"/>
      <c r="J3" s="105"/>
      <c r="K3" s="105"/>
      <c r="L3" s="114"/>
      <c r="M3" s="115"/>
      <c r="N3" s="116"/>
      <c r="O3" s="114"/>
      <c r="P3" s="118"/>
      <c r="Q3" s="119"/>
      <c r="R3" s="12" t="b">
        <v>1</v>
      </c>
      <c r="S3" s="13" t="s">
        <v>30</v>
      </c>
      <c r="T3" s="122"/>
      <c r="U3" s="123"/>
      <c r="V3" s="115"/>
      <c r="W3" s="115"/>
      <c r="X3" s="116"/>
      <c r="Y3" s="113"/>
      <c r="Z3" s="106"/>
      <c r="AA3" s="106"/>
      <c r="AB3" s="106"/>
      <c r="AC3" s="117"/>
      <c r="AD3" s="117"/>
      <c r="AE3" s="106"/>
      <c r="AF3" s="106"/>
      <c r="AG3" s="11"/>
      <c r="AH3" s="11"/>
      <c r="AI3" s="11"/>
      <c r="AJ3" s="11"/>
      <c r="AK3" s="11"/>
      <c r="AL3" s="11"/>
      <c r="AM3" s="11"/>
      <c r="AN3" s="11"/>
      <c r="AO3" s="11"/>
      <c r="AP3" s="11"/>
      <c r="AQ3" s="11"/>
      <c r="AR3" s="11"/>
      <c r="AS3" s="11"/>
      <c r="AT3" s="11"/>
    </row>
    <row r="4" spans="1:46" ht="159" customHeight="1">
      <c r="A4" s="14" t="s">
        <v>31</v>
      </c>
      <c r="B4" s="14" t="s">
        <v>156</v>
      </c>
      <c r="C4" s="17" t="s">
        <v>9</v>
      </c>
      <c r="D4" s="92" t="s">
        <v>142</v>
      </c>
      <c r="E4" s="102" t="s">
        <v>157</v>
      </c>
      <c r="F4" s="90" t="s">
        <v>143</v>
      </c>
      <c r="G4" s="61" t="s">
        <v>158</v>
      </c>
      <c r="H4" s="89" t="s">
        <v>32</v>
      </c>
      <c r="I4" s="16" t="s">
        <v>33</v>
      </c>
      <c r="J4" s="17" t="s">
        <v>34</v>
      </c>
      <c r="K4" s="17" t="s">
        <v>35</v>
      </c>
      <c r="L4" s="18" t="s">
        <v>36</v>
      </c>
      <c r="M4" s="19"/>
      <c r="N4" s="20"/>
      <c r="O4" s="21"/>
      <c r="P4" s="22"/>
      <c r="Q4" s="23"/>
      <c r="R4" s="24" t="s">
        <v>36</v>
      </c>
      <c r="S4" s="25" t="s">
        <v>36</v>
      </c>
      <c r="T4" s="21"/>
      <c r="U4" s="26"/>
      <c r="V4" s="26"/>
      <c r="W4" s="26"/>
      <c r="X4" s="22"/>
      <c r="Y4" s="27" t="s">
        <v>37</v>
      </c>
      <c r="Z4" s="28" t="s">
        <v>38</v>
      </c>
      <c r="AA4" s="29" t="s">
        <v>39</v>
      </c>
      <c r="AB4" s="29" t="s">
        <v>159</v>
      </c>
      <c r="AC4" s="91" t="s">
        <v>160</v>
      </c>
      <c r="AD4" s="91" t="s">
        <v>160</v>
      </c>
      <c r="AE4" s="16" t="s">
        <v>41</v>
      </c>
      <c r="AF4" s="15"/>
      <c r="AG4" s="30"/>
      <c r="AH4" s="30"/>
      <c r="AI4" s="30"/>
      <c r="AJ4" s="30"/>
      <c r="AK4" s="30"/>
      <c r="AL4" s="30"/>
      <c r="AM4" s="30"/>
      <c r="AN4" s="30"/>
      <c r="AO4" s="30"/>
      <c r="AP4" s="30"/>
      <c r="AQ4" s="30"/>
      <c r="AR4" s="30"/>
      <c r="AS4" s="30"/>
      <c r="AT4" s="30"/>
    </row>
    <row r="5" spans="1:46" ht="55.5" customHeight="1">
      <c r="A5" s="14" t="s">
        <v>31</v>
      </c>
      <c r="B5" s="14" t="s">
        <v>156</v>
      </c>
      <c r="C5" s="17" t="s">
        <v>9</v>
      </c>
      <c r="D5" s="90" t="s">
        <v>142</v>
      </c>
      <c r="E5" s="102" t="s">
        <v>157</v>
      </c>
      <c r="F5" s="90" t="s">
        <v>143</v>
      </c>
      <c r="G5" s="61" t="s">
        <v>158</v>
      </c>
      <c r="H5" s="89" t="s">
        <v>42</v>
      </c>
      <c r="I5" s="16" t="s">
        <v>43</v>
      </c>
      <c r="J5" s="17" t="s">
        <v>34</v>
      </c>
      <c r="K5" s="17" t="s">
        <v>35</v>
      </c>
      <c r="L5" s="31" t="s">
        <v>36</v>
      </c>
      <c r="M5" s="32"/>
      <c r="N5" s="33"/>
      <c r="O5" s="34"/>
      <c r="P5" s="35"/>
      <c r="Q5" s="31" t="s">
        <v>36</v>
      </c>
      <c r="R5" s="14"/>
      <c r="S5" s="36"/>
      <c r="T5" s="34"/>
      <c r="U5" s="37"/>
      <c r="V5" s="37"/>
      <c r="W5" s="37"/>
      <c r="X5" s="35"/>
      <c r="Y5" s="27" t="s">
        <v>44</v>
      </c>
      <c r="Z5" s="28" t="s">
        <v>45</v>
      </c>
      <c r="AA5" s="29" t="s">
        <v>39</v>
      </c>
      <c r="AB5" s="29" t="s">
        <v>159</v>
      </c>
      <c r="AC5" s="91" t="s">
        <v>160</v>
      </c>
      <c r="AD5" s="91" t="s">
        <v>160</v>
      </c>
      <c r="AE5" s="16"/>
      <c r="AF5" s="15"/>
      <c r="AG5" s="30"/>
      <c r="AH5" s="30"/>
      <c r="AI5" s="30"/>
      <c r="AJ5" s="30"/>
      <c r="AK5" s="30"/>
      <c r="AL5" s="30"/>
      <c r="AM5" s="30"/>
      <c r="AN5" s="30"/>
      <c r="AO5" s="30"/>
      <c r="AP5" s="30"/>
      <c r="AQ5" s="30"/>
      <c r="AR5" s="30"/>
      <c r="AS5" s="30"/>
      <c r="AT5" s="30"/>
    </row>
    <row r="6" spans="1:46" ht="163.5" customHeight="1">
      <c r="A6" s="14" t="s">
        <v>31</v>
      </c>
      <c r="B6" s="14" t="s">
        <v>156</v>
      </c>
      <c r="C6" s="14" t="s">
        <v>9</v>
      </c>
      <c r="D6" s="90" t="s">
        <v>142</v>
      </c>
      <c r="E6" s="102" t="s">
        <v>157</v>
      </c>
      <c r="F6" s="90" t="s">
        <v>143</v>
      </c>
      <c r="G6" s="61" t="s">
        <v>158</v>
      </c>
      <c r="H6" s="15" t="s">
        <v>46</v>
      </c>
      <c r="I6" s="16" t="s">
        <v>47</v>
      </c>
      <c r="J6" s="17" t="s">
        <v>34</v>
      </c>
      <c r="K6" s="17" t="s">
        <v>35</v>
      </c>
      <c r="L6" s="31"/>
      <c r="M6" s="14" t="s">
        <v>36</v>
      </c>
      <c r="N6" s="36"/>
      <c r="O6" s="34"/>
      <c r="P6" s="35"/>
      <c r="Q6" s="38"/>
      <c r="R6" s="14" t="s">
        <v>36</v>
      </c>
      <c r="S6" s="36" t="s">
        <v>36</v>
      </c>
      <c r="T6" s="34"/>
      <c r="U6" s="37"/>
      <c r="V6" s="37"/>
      <c r="W6" s="37"/>
      <c r="X6" s="35"/>
      <c r="Y6" s="27" t="s">
        <v>37</v>
      </c>
      <c r="Z6" s="28" t="s">
        <v>48</v>
      </c>
      <c r="AA6" s="29" t="s">
        <v>39</v>
      </c>
      <c r="AB6" s="29" t="s">
        <v>159</v>
      </c>
      <c r="AC6" s="91" t="s">
        <v>160</v>
      </c>
      <c r="AD6" s="91" t="s">
        <v>160</v>
      </c>
      <c r="AE6" s="16" t="s">
        <v>161</v>
      </c>
      <c r="AF6" s="15"/>
      <c r="AG6" s="30"/>
      <c r="AH6" s="30"/>
      <c r="AI6" s="30"/>
      <c r="AJ6" s="30"/>
      <c r="AK6" s="30"/>
      <c r="AL6" s="30"/>
      <c r="AM6" s="30"/>
      <c r="AN6" s="30"/>
      <c r="AO6" s="30"/>
      <c r="AP6" s="30"/>
      <c r="AQ6" s="30"/>
      <c r="AR6" s="30"/>
      <c r="AS6" s="30"/>
      <c r="AT6" s="30"/>
    </row>
    <row r="7" spans="1:46" ht="60.75" customHeight="1">
      <c r="A7" s="14" t="s">
        <v>31</v>
      </c>
      <c r="B7" s="14" t="s">
        <v>156</v>
      </c>
      <c r="C7" s="14" t="s">
        <v>9</v>
      </c>
      <c r="D7" s="90" t="s">
        <v>142</v>
      </c>
      <c r="E7" s="102" t="s">
        <v>157</v>
      </c>
      <c r="F7" s="90" t="s">
        <v>143</v>
      </c>
      <c r="G7" s="61" t="s">
        <v>158</v>
      </c>
      <c r="H7" s="15" t="s">
        <v>49</v>
      </c>
      <c r="I7" s="16" t="s">
        <v>50</v>
      </c>
      <c r="J7" s="17" t="s">
        <v>34</v>
      </c>
      <c r="K7" s="17" t="s">
        <v>35</v>
      </c>
      <c r="L7" s="31"/>
      <c r="M7" s="14" t="s">
        <v>36</v>
      </c>
      <c r="N7" s="36"/>
      <c r="O7" s="34"/>
      <c r="P7" s="35"/>
      <c r="Q7" s="31" t="s">
        <v>36</v>
      </c>
      <c r="R7" s="14"/>
      <c r="S7" s="36"/>
      <c r="T7" s="34"/>
      <c r="U7" s="37"/>
      <c r="V7" s="37"/>
      <c r="W7" s="37"/>
      <c r="X7" s="35"/>
      <c r="Y7" s="27" t="s">
        <v>44</v>
      </c>
      <c r="Z7" s="28" t="s">
        <v>51</v>
      </c>
      <c r="AA7" s="29" t="s">
        <v>39</v>
      </c>
      <c r="AB7" s="29" t="s">
        <v>159</v>
      </c>
      <c r="AC7" s="91" t="s">
        <v>160</v>
      </c>
      <c r="AD7" s="91" t="s">
        <v>160</v>
      </c>
      <c r="AE7" s="16" t="s">
        <v>52</v>
      </c>
      <c r="AF7" s="15"/>
      <c r="AG7" s="30"/>
      <c r="AH7" s="30"/>
      <c r="AI7" s="30"/>
      <c r="AJ7" s="30"/>
      <c r="AK7" s="30"/>
      <c r="AL7" s="30"/>
      <c r="AM7" s="30"/>
      <c r="AN7" s="30"/>
      <c r="AO7" s="30"/>
      <c r="AP7" s="30"/>
      <c r="AQ7" s="30"/>
      <c r="AR7" s="30"/>
      <c r="AS7" s="30"/>
      <c r="AT7" s="30"/>
    </row>
    <row r="8" spans="1:46" ht="162.75" customHeight="1">
      <c r="A8" s="14" t="s">
        <v>31</v>
      </c>
      <c r="B8" s="14" t="s">
        <v>156</v>
      </c>
      <c r="C8" s="14" t="s">
        <v>9</v>
      </c>
      <c r="D8" s="93" t="s">
        <v>142</v>
      </c>
      <c r="E8" s="102" t="s">
        <v>157</v>
      </c>
      <c r="F8" s="34" t="s">
        <v>143</v>
      </c>
      <c r="G8" s="61" t="s">
        <v>158</v>
      </c>
      <c r="H8" s="15" t="s">
        <v>53</v>
      </c>
      <c r="I8" s="16" t="s">
        <v>54</v>
      </c>
      <c r="J8" s="17" t="s">
        <v>34</v>
      </c>
      <c r="K8" s="17" t="s">
        <v>35</v>
      </c>
      <c r="L8" s="31"/>
      <c r="M8" s="32"/>
      <c r="N8" s="36" t="s">
        <v>36</v>
      </c>
      <c r="O8" s="34"/>
      <c r="P8" s="35"/>
      <c r="Q8" s="38"/>
      <c r="R8" s="14" t="s">
        <v>36</v>
      </c>
      <c r="S8" s="36" t="s">
        <v>36</v>
      </c>
      <c r="T8" s="34"/>
      <c r="U8" s="37"/>
      <c r="V8" s="37"/>
      <c r="W8" s="37"/>
      <c r="X8" s="35"/>
      <c r="Y8" s="27" t="s">
        <v>37</v>
      </c>
      <c r="Z8" s="28" t="s">
        <v>55</v>
      </c>
      <c r="AA8" s="29" t="s">
        <v>39</v>
      </c>
      <c r="AB8" s="29" t="s">
        <v>159</v>
      </c>
      <c r="AC8" s="37" t="s">
        <v>145</v>
      </c>
      <c r="AD8" s="37" t="s">
        <v>145</v>
      </c>
      <c r="AE8" s="16" t="s">
        <v>162</v>
      </c>
      <c r="AF8" s="15"/>
      <c r="AG8" s="30"/>
      <c r="AH8" s="30"/>
      <c r="AI8" s="30"/>
      <c r="AJ8" s="30"/>
      <c r="AK8" s="30"/>
      <c r="AL8" s="30"/>
      <c r="AM8" s="30"/>
      <c r="AN8" s="30"/>
      <c r="AO8" s="30"/>
      <c r="AP8" s="30"/>
      <c r="AQ8" s="30"/>
      <c r="AR8" s="30"/>
      <c r="AS8" s="30"/>
      <c r="AT8" s="30"/>
    </row>
    <row r="9" spans="1:46" ht="43.5" customHeight="1">
      <c r="A9" s="14" t="s">
        <v>31</v>
      </c>
      <c r="B9" s="14" t="s">
        <v>156</v>
      </c>
      <c r="C9" s="14" t="s">
        <v>9</v>
      </c>
      <c r="D9" s="93" t="s">
        <v>142</v>
      </c>
      <c r="E9" s="102" t="s">
        <v>157</v>
      </c>
      <c r="F9" s="34" t="s">
        <v>143</v>
      </c>
      <c r="G9" s="61" t="s">
        <v>158</v>
      </c>
      <c r="H9" s="15" t="s">
        <v>57</v>
      </c>
      <c r="I9" s="16" t="s">
        <v>58</v>
      </c>
      <c r="J9" s="17" t="s">
        <v>34</v>
      </c>
      <c r="K9" s="17" t="s">
        <v>35</v>
      </c>
      <c r="L9" s="31"/>
      <c r="M9" s="32"/>
      <c r="N9" s="36" t="s">
        <v>36</v>
      </c>
      <c r="O9" s="34"/>
      <c r="P9" s="35"/>
      <c r="Q9" s="31" t="s">
        <v>36</v>
      </c>
      <c r="R9" s="14"/>
      <c r="S9" s="36"/>
      <c r="T9" s="34"/>
      <c r="U9" s="37"/>
      <c r="V9" s="37"/>
      <c r="W9" s="37"/>
      <c r="X9" s="35"/>
      <c r="Y9" s="27" t="s">
        <v>44</v>
      </c>
      <c r="Z9" s="28" t="s">
        <v>59</v>
      </c>
      <c r="AA9" s="29" t="s">
        <v>39</v>
      </c>
      <c r="AB9" s="29" t="s">
        <v>159</v>
      </c>
      <c r="AC9" s="37" t="s">
        <v>145</v>
      </c>
      <c r="AD9" s="37" t="s">
        <v>145</v>
      </c>
      <c r="AE9" s="16" t="s">
        <v>163</v>
      </c>
      <c r="AF9" s="15"/>
      <c r="AG9" s="30"/>
      <c r="AH9" s="30"/>
      <c r="AI9" s="30"/>
      <c r="AJ9" s="30"/>
      <c r="AK9" s="30"/>
      <c r="AL9" s="30"/>
      <c r="AM9" s="30"/>
      <c r="AN9" s="30"/>
      <c r="AO9" s="30"/>
      <c r="AP9" s="30"/>
      <c r="AQ9" s="30"/>
      <c r="AR9" s="30"/>
      <c r="AS9" s="30"/>
      <c r="AT9" s="30"/>
    </row>
    <row r="10" spans="1:46" ht="61.5" customHeight="1">
      <c r="A10" s="14" t="s">
        <v>31</v>
      </c>
      <c r="B10" s="14" t="s">
        <v>156</v>
      </c>
      <c r="C10" s="14" t="s">
        <v>9</v>
      </c>
      <c r="D10" s="90" t="s">
        <v>142</v>
      </c>
      <c r="E10" s="102" t="s">
        <v>157</v>
      </c>
      <c r="F10" s="90" t="s">
        <v>143</v>
      </c>
      <c r="G10" s="61" t="s">
        <v>158</v>
      </c>
      <c r="H10" s="15" t="s">
        <v>61</v>
      </c>
      <c r="I10" s="16" t="s">
        <v>62</v>
      </c>
      <c r="J10" s="39" t="s">
        <v>63</v>
      </c>
      <c r="K10" s="17" t="s">
        <v>35</v>
      </c>
      <c r="L10" s="31"/>
      <c r="M10" s="32"/>
      <c r="N10" s="36"/>
      <c r="O10" s="34"/>
      <c r="P10" s="35"/>
      <c r="Q10" s="31"/>
      <c r="R10" s="14"/>
      <c r="S10" s="36"/>
      <c r="T10" s="34"/>
      <c r="U10" s="37"/>
      <c r="V10" s="37"/>
      <c r="W10" s="37"/>
      <c r="X10" s="35"/>
      <c r="Y10" s="27" t="s">
        <v>37</v>
      </c>
      <c r="Z10" s="40" t="s">
        <v>64</v>
      </c>
      <c r="AA10" s="29" t="s">
        <v>39</v>
      </c>
      <c r="AB10" s="29" t="s">
        <v>159</v>
      </c>
      <c r="AC10" s="91" t="s">
        <v>160</v>
      </c>
      <c r="AD10" s="91" t="s">
        <v>160</v>
      </c>
      <c r="AE10" s="16"/>
      <c r="AF10" s="15"/>
      <c r="AG10" s="30"/>
      <c r="AH10" s="30"/>
      <c r="AI10" s="30"/>
      <c r="AJ10" s="30"/>
      <c r="AK10" s="30"/>
      <c r="AL10" s="30"/>
      <c r="AM10" s="30"/>
      <c r="AN10" s="30"/>
      <c r="AO10" s="30"/>
      <c r="AP10" s="30"/>
      <c r="AQ10" s="30"/>
      <c r="AR10" s="30"/>
      <c r="AS10" s="30"/>
      <c r="AT10" s="30"/>
    </row>
    <row r="11" spans="1:46" ht="62.25" customHeight="1">
      <c r="A11" s="14" t="s">
        <v>31</v>
      </c>
      <c r="B11" s="14" t="s">
        <v>156</v>
      </c>
      <c r="C11" s="14" t="s">
        <v>9</v>
      </c>
      <c r="D11" s="92" t="s">
        <v>142</v>
      </c>
      <c r="E11" s="102" t="s">
        <v>157</v>
      </c>
      <c r="F11" s="90" t="s">
        <v>143</v>
      </c>
      <c r="G11" s="61" t="s">
        <v>158</v>
      </c>
      <c r="H11" s="15" t="s">
        <v>65</v>
      </c>
      <c r="I11" s="16" t="s">
        <v>66</v>
      </c>
      <c r="J11" s="39" t="s">
        <v>63</v>
      </c>
      <c r="K11" s="17" t="s">
        <v>35</v>
      </c>
      <c r="L11" s="31"/>
      <c r="M11" s="32"/>
      <c r="N11" s="36"/>
      <c r="O11" s="34"/>
      <c r="P11" s="35"/>
      <c r="Q11" s="31"/>
      <c r="R11" s="14"/>
      <c r="S11" s="36"/>
      <c r="T11" s="34"/>
      <c r="U11" s="37"/>
      <c r="V11" s="37"/>
      <c r="W11" s="37"/>
      <c r="X11" s="35"/>
      <c r="Y11" s="27" t="s">
        <v>37</v>
      </c>
      <c r="Z11" s="40" t="s">
        <v>67</v>
      </c>
      <c r="AA11" s="29" t="s">
        <v>39</v>
      </c>
      <c r="AB11" s="29" t="s">
        <v>159</v>
      </c>
      <c r="AC11" s="91" t="s">
        <v>160</v>
      </c>
      <c r="AD11" s="91" t="s">
        <v>160</v>
      </c>
      <c r="AE11" s="16" t="s">
        <v>164</v>
      </c>
      <c r="AF11" s="15"/>
      <c r="AG11" s="30"/>
      <c r="AH11" s="30"/>
      <c r="AI11" s="30"/>
      <c r="AJ11" s="30"/>
      <c r="AK11" s="30"/>
      <c r="AL11" s="30"/>
      <c r="AM11" s="30"/>
      <c r="AN11" s="30"/>
      <c r="AO11" s="30"/>
      <c r="AP11" s="30"/>
      <c r="AQ11" s="30"/>
      <c r="AR11" s="30"/>
      <c r="AS11" s="30"/>
      <c r="AT11" s="30"/>
    </row>
    <row r="12" spans="1:46" ht="51.75" customHeight="1">
      <c r="A12" s="14" t="s">
        <v>31</v>
      </c>
      <c r="B12" s="14" t="s">
        <v>156</v>
      </c>
      <c r="C12" s="14" t="s">
        <v>9</v>
      </c>
      <c r="D12" s="90" t="s">
        <v>142</v>
      </c>
      <c r="E12" s="102" t="s">
        <v>157</v>
      </c>
      <c r="F12" s="90" t="s">
        <v>143</v>
      </c>
      <c r="G12" s="61" t="s">
        <v>158</v>
      </c>
      <c r="H12" s="15" t="s">
        <v>68</v>
      </c>
      <c r="I12" s="41" t="s">
        <v>69</v>
      </c>
      <c r="J12" s="17" t="s">
        <v>34</v>
      </c>
      <c r="K12" s="17" t="s">
        <v>35</v>
      </c>
      <c r="L12" s="38"/>
      <c r="M12" s="32" t="s">
        <v>36</v>
      </c>
      <c r="N12" s="33"/>
      <c r="O12" s="34"/>
      <c r="P12" s="35"/>
      <c r="Q12" s="34"/>
      <c r="R12" s="37"/>
      <c r="S12" s="35"/>
      <c r="T12" s="38" t="s">
        <v>36</v>
      </c>
      <c r="U12" s="37"/>
      <c r="V12" s="14"/>
      <c r="W12" s="14"/>
      <c r="X12" s="36"/>
      <c r="Y12" s="27" t="s">
        <v>70</v>
      </c>
      <c r="Z12" s="42" t="s">
        <v>71</v>
      </c>
      <c r="AA12" s="29" t="s">
        <v>39</v>
      </c>
      <c r="AB12" s="29" t="s">
        <v>159</v>
      </c>
      <c r="AC12" s="91" t="s">
        <v>160</v>
      </c>
      <c r="AD12" s="91" t="s">
        <v>160</v>
      </c>
      <c r="AE12" s="16" t="s">
        <v>165</v>
      </c>
      <c r="AF12" s="15"/>
      <c r="AG12" s="30"/>
      <c r="AH12" s="30"/>
      <c r="AI12" s="30"/>
      <c r="AJ12" s="30"/>
      <c r="AK12" s="30"/>
      <c r="AL12" s="30"/>
      <c r="AM12" s="30"/>
      <c r="AN12" s="30"/>
      <c r="AO12" s="30"/>
      <c r="AP12" s="30"/>
      <c r="AQ12" s="30"/>
      <c r="AR12" s="30"/>
      <c r="AS12" s="30"/>
      <c r="AT12" s="30"/>
    </row>
    <row r="13" spans="1:46" ht="52.5" customHeight="1">
      <c r="A13" s="14" t="s">
        <v>31</v>
      </c>
      <c r="B13" s="14" t="s">
        <v>156</v>
      </c>
      <c r="C13" s="14" t="s">
        <v>9</v>
      </c>
      <c r="D13" s="93" t="s">
        <v>142</v>
      </c>
      <c r="E13" s="102" t="s">
        <v>157</v>
      </c>
      <c r="F13" s="34" t="s">
        <v>143</v>
      </c>
      <c r="G13" s="61" t="s">
        <v>158</v>
      </c>
      <c r="H13" s="15" t="s">
        <v>72</v>
      </c>
      <c r="I13" s="41" t="s">
        <v>73</v>
      </c>
      <c r="J13" s="39" t="s">
        <v>63</v>
      </c>
      <c r="K13" s="17" t="s">
        <v>35</v>
      </c>
      <c r="L13" s="38"/>
      <c r="M13" s="32" t="s">
        <v>36</v>
      </c>
      <c r="N13" s="33"/>
      <c r="O13" s="34"/>
      <c r="P13" s="35"/>
      <c r="Q13" s="34"/>
      <c r="R13" s="37"/>
      <c r="S13" s="35"/>
      <c r="T13" s="38" t="s">
        <v>36</v>
      </c>
      <c r="U13" s="37"/>
      <c r="V13" s="14"/>
      <c r="W13" s="14"/>
      <c r="X13" s="36"/>
      <c r="Y13" s="27" t="s">
        <v>70</v>
      </c>
      <c r="Z13" s="28" t="s">
        <v>74</v>
      </c>
      <c r="AA13" s="29" t="s">
        <v>39</v>
      </c>
      <c r="AB13" s="29" t="s">
        <v>159</v>
      </c>
      <c r="AC13" s="37" t="s">
        <v>145</v>
      </c>
      <c r="AD13" s="37" t="s">
        <v>145</v>
      </c>
      <c r="AE13" s="16" t="s">
        <v>75</v>
      </c>
      <c r="AF13" s="68"/>
      <c r="AG13" s="30"/>
      <c r="AH13" s="30"/>
      <c r="AI13" s="30"/>
      <c r="AJ13" s="30"/>
      <c r="AK13" s="30"/>
      <c r="AL13" s="30"/>
      <c r="AM13" s="30"/>
      <c r="AN13" s="30"/>
      <c r="AO13" s="30"/>
      <c r="AP13" s="30"/>
      <c r="AQ13" s="30"/>
      <c r="AR13" s="30"/>
      <c r="AS13" s="30"/>
      <c r="AT13" s="30"/>
    </row>
    <row r="14" spans="1:46" ht="99.75" customHeight="1">
      <c r="A14" s="14" t="s">
        <v>31</v>
      </c>
      <c r="B14" s="14" t="s">
        <v>156</v>
      </c>
      <c r="C14" s="14" t="s">
        <v>9</v>
      </c>
      <c r="D14" s="90" t="s">
        <v>142</v>
      </c>
      <c r="E14" s="102" t="s">
        <v>157</v>
      </c>
      <c r="F14" s="90" t="s">
        <v>143</v>
      </c>
      <c r="G14" s="61" t="s">
        <v>158</v>
      </c>
      <c r="H14" s="15" t="s">
        <v>76</v>
      </c>
      <c r="I14" s="43" t="s">
        <v>77</v>
      </c>
      <c r="J14" s="17" t="s">
        <v>34</v>
      </c>
      <c r="K14" s="17" t="s">
        <v>35</v>
      </c>
      <c r="L14" s="31"/>
      <c r="M14" s="32" t="s">
        <v>36</v>
      </c>
      <c r="N14" s="33"/>
      <c r="O14" s="31" t="s">
        <v>36</v>
      </c>
      <c r="P14" s="36"/>
      <c r="Q14" s="34"/>
      <c r="R14" s="14" t="s">
        <v>36</v>
      </c>
      <c r="S14" s="36"/>
      <c r="T14" s="38"/>
      <c r="U14" s="37"/>
      <c r="V14" s="14" t="s">
        <v>36</v>
      </c>
      <c r="W14" s="14"/>
      <c r="X14" s="36"/>
      <c r="Y14" s="27" t="s">
        <v>78</v>
      </c>
      <c r="Z14" s="28" t="s">
        <v>79</v>
      </c>
      <c r="AA14" s="29" t="s">
        <v>39</v>
      </c>
      <c r="AB14" s="29" t="s">
        <v>159</v>
      </c>
      <c r="AC14" s="91" t="s">
        <v>160</v>
      </c>
      <c r="AD14" s="91" t="s">
        <v>160</v>
      </c>
      <c r="AE14" s="94" t="s">
        <v>80</v>
      </c>
      <c r="AF14" s="15"/>
      <c r="AG14" s="100"/>
      <c r="AH14" s="30"/>
      <c r="AI14" s="30"/>
      <c r="AJ14" s="30"/>
      <c r="AK14" s="30"/>
      <c r="AL14" s="30"/>
      <c r="AM14" s="30"/>
      <c r="AN14" s="30"/>
      <c r="AO14" s="30"/>
      <c r="AP14" s="30"/>
      <c r="AQ14" s="30"/>
      <c r="AR14" s="30"/>
      <c r="AS14" s="30"/>
      <c r="AT14" s="30"/>
    </row>
    <row r="15" spans="1:46" ht="183" customHeight="1">
      <c r="A15" s="14" t="s">
        <v>31</v>
      </c>
      <c r="B15" s="14" t="s">
        <v>156</v>
      </c>
      <c r="C15" s="14" t="s">
        <v>9</v>
      </c>
      <c r="D15" s="92" t="s">
        <v>142</v>
      </c>
      <c r="E15" s="102" t="s">
        <v>157</v>
      </c>
      <c r="F15" s="92" t="s">
        <v>143</v>
      </c>
      <c r="G15" s="103" t="s">
        <v>166</v>
      </c>
      <c r="H15" s="15" t="s">
        <v>81</v>
      </c>
      <c r="I15" s="43" t="s">
        <v>167</v>
      </c>
      <c r="J15" s="45" t="s">
        <v>34</v>
      </c>
      <c r="K15" s="17" t="s">
        <v>35</v>
      </c>
      <c r="L15" s="31"/>
      <c r="M15" s="32" t="s">
        <v>36</v>
      </c>
      <c r="N15" s="33"/>
      <c r="O15" s="31" t="s">
        <v>36</v>
      </c>
      <c r="P15" s="36"/>
      <c r="Q15" s="34"/>
      <c r="R15" s="14" t="s">
        <v>36</v>
      </c>
      <c r="S15" s="36"/>
      <c r="T15" s="38"/>
      <c r="U15" s="37"/>
      <c r="V15" s="14" t="s">
        <v>36</v>
      </c>
      <c r="W15" s="14"/>
      <c r="X15" s="36"/>
      <c r="Y15" s="27" t="s">
        <v>78</v>
      </c>
      <c r="Z15" s="65" t="s">
        <v>168</v>
      </c>
      <c r="AA15" s="29" t="s">
        <v>39</v>
      </c>
      <c r="AB15" s="29" t="s">
        <v>159</v>
      </c>
      <c r="AC15" s="91" t="s">
        <v>160</v>
      </c>
      <c r="AD15" s="91" t="s">
        <v>160</v>
      </c>
      <c r="AE15" s="95" t="s">
        <v>169</v>
      </c>
      <c r="AF15" s="15"/>
      <c r="AG15" s="101"/>
    </row>
    <row r="16" spans="1:46" ht="93.75" customHeight="1">
      <c r="A16" s="14" t="s">
        <v>31</v>
      </c>
      <c r="B16" s="14" t="s">
        <v>156</v>
      </c>
      <c r="C16" s="14" t="s">
        <v>9</v>
      </c>
      <c r="D16" s="93" t="s">
        <v>142</v>
      </c>
      <c r="E16" s="102" t="s">
        <v>157</v>
      </c>
      <c r="F16" s="34" t="s">
        <v>143</v>
      </c>
      <c r="G16" s="61" t="s">
        <v>158</v>
      </c>
      <c r="H16" s="15" t="s">
        <v>85</v>
      </c>
      <c r="I16" s="47" t="s">
        <v>94</v>
      </c>
      <c r="J16" s="17" t="s">
        <v>34</v>
      </c>
      <c r="K16" s="17" t="s">
        <v>35</v>
      </c>
      <c r="L16" s="31"/>
      <c r="M16" s="32"/>
      <c r="N16" s="33" t="s">
        <v>36</v>
      </c>
      <c r="O16" s="31" t="s">
        <v>36</v>
      </c>
      <c r="P16" s="36"/>
      <c r="Q16" s="34"/>
      <c r="R16" s="14"/>
      <c r="S16" s="36" t="s">
        <v>36</v>
      </c>
      <c r="T16" s="38"/>
      <c r="U16" s="37"/>
      <c r="V16" s="14" t="s">
        <v>36</v>
      </c>
      <c r="W16" s="14"/>
      <c r="X16" s="36"/>
      <c r="Y16" s="27" t="s">
        <v>95</v>
      </c>
      <c r="Z16" s="28" t="s">
        <v>96</v>
      </c>
      <c r="AA16" s="29" t="s">
        <v>39</v>
      </c>
      <c r="AB16" s="29" t="s">
        <v>159</v>
      </c>
      <c r="AC16" s="37" t="s">
        <v>145</v>
      </c>
      <c r="AD16" s="37" t="s">
        <v>145</v>
      </c>
      <c r="AE16" s="96" t="s">
        <v>170</v>
      </c>
      <c r="AF16" s="15"/>
      <c r="AG16" s="100"/>
      <c r="AH16" s="30"/>
      <c r="AI16" s="30"/>
      <c r="AJ16" s="30"/>
      <c r="AK16" s="30"/>
      <c r="AL16" s="30"/>
      <c r="AM16" s="30"/>
      <c r="AN16" s="30"/>
      <c r="AO16" s="30"/>
      <c r="AP16" s="30"/>
      <c r="AQ16" s="30"/>
      <c r="AR16" s="30"/>
      <c r="AS16" s="30"/>
      <c r="AT16" s="30"/>
    </row>
    <row r="17" spans="1:46" ht="133.5" customHeight="1">
      <c r="A17" s="14" t="s">
        <v>31</v>
      </c>
      <c r="B17" s="14" t="s">
        <v>156</v>
      </c>
      <c r="C17" s="14" t="s">
        <v>9</v>
      </c>
      <c r="D17" s="93" t="s">
        <v>142</v>
      </c>
      <c r="E17" s="102" t="s">
        <v>157</v>
      </c>
      <c r="F17" s="34" t="s">
        <v>143</v>
      </c>
      <c r="G17" s="61" t="s">
        <v>158</v>
      </c>
      <c r="H17" s="15" t="s">
        <v>89</v>
      </c>
      <c r="I17" s="47" t="s">
        <v>171</v>
      </c>
      <c r="J17" s="17" t="s">
        <v>34</v>
      </c>
      <c r="K17" s="17" t="s">
        <v>35</v>
      </c>
      <c r="L17" s="31"/>
      <c r="M17" s="32"/>
      <c r="N17" s="33" t="s">
        <v>36</v>
      </c>
      <c r="O17" s="31" t="s">
        <v>36</v>
      </c>
      <c r="P17" s="36"/>
      <c r="Q17" s="34"/>
      <c r="R17" s="14"/>
      <c r="S17" s="36" t="s">
        <v>36</v>
      </c>
      <c r="T17" s="38"/>
      <c r="U17" s="37"/>
      <c r="V17" s="14" t="s">
        <v>36</v>
      </c>
      <c r="W17" s="14"/>
      <c r="X17" s="36"/>
      <c r="Y17" s="27" t="s">
        <v>95</v>
      </c>
      <c r="Z17" s="28" t="s">
        <v>172</v>
      </c>
      <c r="AA17" s="29" t="s">
        <v>39</v>
      </c>
      <c r="AB17" s="29" t="s">
        <v>159</v>
      </c>
      <c r="AC17" s="37" t="s">
        <v>145</v>
      </c>
      <c r="AD17" s="37" t="s">
        <v>145</v>
      </c>
      <c r="AE17" s="96" t="s">
        <v>173</v>
      </c>
      <c r="AF17" s="15"/>
      <c r="AG17" s="101"/>
    </row>
    <row r="18" spans="1:46" ht="171.75" customHeight="1">
      <c r="A18" s="14" t="s">
        <v>31</v>
      </c>
      <c r="B18" s="14" t="s">
        <v>156</v>
      </c>
      <c r="C18" s="48" t="s">
        <v>9</v>
      </c>
      <c r="D18" s="92" t="s">
        <v>142</v>
      </c>
      <c r="E18" s="102" t="s">
        <v>157</v>
      </c>
      <c r="F18" s="90" t="s">
        <v>143</v>
      </c>
      <c r="G18" s="61" t="s">
        <v>158</v>
      </c>
      <c r="H18" s="15" t="s">
        <v>93</v>
      </c>
      <c r="I18" s="49" t="s">
        <v>108</v>
      </c>
      <c r="J18" s="45" t="s">
        <v>34</v>
      </c>
      <c r="K18" s="17" t="s">
        <v>35</v>
      </c>
      <c r="L18" s="50" t="s">
        <v>36</v>
      </c>
      <c r="M18" s="51"/>
      <c r="N18" s="51"/>
      <c r="O18" s="52"/>
      <c r="P18" s="52"/>
      <c r="Q18" s="51"/>
      <c r="R18" s="50" t="s">
        <v>36</v>
      </c>
      <c r="S18" s="50"/>
      <c r="T18" s="52"/>
      <c r="U18" s="52"/>
      <c r="V18" s="50" t="s">
        <v>36</v>
      </c>
      <c r="W18" s="52"/>
      <c r="X18" s="52"/>
      <c r="Y18" s="53" t="s">
        <v>109</v>
      </c>
      <c r="Z18" s="54" t="s">
        <v>110</v>
      </c>
      <c r="AA18" s="49" t="s">
        <v>39</v>
      </c>
      <c r="AB18" s="29" t="s">
        <v>159</v>
      </c>
      <c r="AC18" s="91" t="s">
        <v>160</v>
      </c>
      <c r="AD18" s="91" t="s">
        <v>160</v>
      </c>
      <c r="AE18" s="97" t="s">
        <v>174</v>
      </c>
      <c r="AF18" s="49"/>
      <c r="AG18" s="79"/>
      <c r="AH18" s="56"/>
      <c r="AI18" s="56"/>
      <c r="AJ18" s="56"/>
      <c r="AK18" s="56"/>
      <c r="AL18" s="56"/>
      <c r="AM18" s="56"/>
      <c r="AN18" s="56"/>
      <c r="AO18" s="56"/>
      <c r="AP18" s="56"/>
    </row>
    <row r="19" spans="1:46" ht="372.75" customHeight="1">
      <c r="A19" s="66" t="s">
        <v>112</v>
      </c>
      <c r="B19" s="14" t="s">
        <v>156</v>
      </c>
      <c r="C19" s="67" t="s">
        <v>9</v>
      </c>
      <c r="D19" s="92" t="s">
        <v>142</v>
      </c>
      <c r="E19" s="102" t="s">
        <v>157</v>
      </c>
      <c r="F19" s="90" t="s">
        <v>143</v>
      </c>
      <c r="G19" s="61" t="s">
        <v>158</v>
      </c>
      <c r="H19" s="15" t="s">
        <v>98</v>
      </c>
      <c r="I19" s="69" t="s">
        <v>114</v>
      </c>
      <c r="J19" s="70" t="s">
        <v>34</v>
      </c>
      <c r="K19" s="71" t="s">
        <v>35</v>
      </c>
      <c r="L19" s="72" t="s">
        <v>36</v>
      </c>
      <c r="M19" s="73"/>
      <c r="N19" s="73"/>
      <c r="O19" s="74"/>
      <c r="P19" s="74"/>
      <c r="Q19" s="73"/>
      <c r="R19" s="72"/>
      <c r="S19" s="72" t="s">
        <v>36</v>
      </c>
      <c r="T19" s="74"/>
      <c r="U19" s="74"/>
      <c r="V19" s="72" t="s">
        <v>36</v>
      </c>
      <c r="W19" s="74"/>
      <c r="X19" s="74"/>
      <c r="Y19" s="75" t="s">
        <v>109</v>
      </c>
      <c r="Z19" s="76" t="s">
        <v>115</v>
      </c>
      <c r="AA19" s="69" t="s">
        <v>39</v>
      </c>
      <c r="AB19" s="29" t="s">
        <v>159</v>
      </c>
      <c r="AC19" s="91" t="s">
        <v>160</v>
      </c>
      <c r="AD19" s="91" t="s">
        <v>160</v>
      </c>
      <c r="AE19" s="98" t="s">
        <v>175</v>
      </c>
      <c r="AF19" s="49"/>
      <c r="AG19" s="79"/>
      <c r="AH19" s="56"/>
      <c r="AI19" s="56"/>
      <c r="AJ19" s="56"/>
      <c r="AK19" s="56"/>
      <c r="AL19" s="56"/>
      <c r="AM19" s="56"/>
      <c r="AN19" s="56"/>
      <c r="AO19" s="56"/>
      <c r="AP19" s="56"/>
    </row>
    <row r="20" spans="1:46" s="60" customFormat="1" ht="347.25" customHeight="1">
      <c r="A20" s="14" t="s">
        <v>112</v>
      </c>
      <c r="B20" s="14" t="s">
        <v>156</v>
      </c>
      <c r="C20" s="61" t="s">
        <v>9</v>
      </c>
      <c r="D20" s="92" t="s">
        <v>142</v>
      </c>
      <c r="E20" s="102" t="s">
        <v>157</v>
      </c>
      <c r="F20" s="92" t="s">
        <v>143</v>
      </c>
      <c r="G20" s="61" t="s">
        <v>158</v>
      </c>
      <c r="H20" s="15" t="s">
        <v>101</v>
      </c>
      <c r="I20" s="61" t="s">
        <v>114</v>
      </c>
      <c r="J20" s="61" t="s">
        <v>34</v>
      </c>
      <c r="K20" s="61" t="s">
        <v>118</v>
      </c>
      <c r="L20" s="48" t="s">
        <v>36</v>
      </c>
      <c r="M20" s="62"/>
      <c r="N20" s="62"/>
      <c r="O20" s="63"/>
      <c r="P20" s="63"/>
      <c r="Q20" s="62"/>
      <c r="R20" s="48"/>
      <c r="S20" s="48" t="s">
        <v>36</v>
      </c>
      <c r="T20" s="63"/>
      <c r="U20" s="63"/>
      <c r="V20" s="48" t="s">
        <v>36</v>
      </c>
      <c r="W20" s="63"/>
      <c r="X20" s="63"/>
      <c r="Y20" s="61" t="s">
        <v>119</v>
      </c>
      <c r="Z20" s="64" t="s">
        <v>115</v>
      </c>
      <c r="AA20" s="61" t="s">
        <v>39</v>
      </c>
      <c r="AB20" s="29" t="s">
        <v>159</v>
      </c>
      <c r="AC20" s="91" t="s">
        <v>160</v>
      </c>
      <c r="AD20" s="91" t="s">
        <v>160</v>
      </c>
      <c r="AE20" s="99" t="s">
        <v>176</v>
      </c>
      <c r="AF20" s="61"/>
      <c r="AG20" s="65"/>
    </row>
    <row r="21" spans="1:46" ht="137.25" customHeight="1">
      <c r="A21" s="24" t="s">
        <v>31</v>
      </c>
      <c r="B21" s="14" t="s">
        <v>156</v>
      </c>
      <c r="C21" s="24" t="s">
        <v>9</v>
      </c>
      <c r="D21" s="90" t="s">
        <v>142</v>
      </c>
      <c r="E21" s="102" t="s">
        <v>177</v>
      </c>
      <c r="F21" s="90" t="s">
        <v>143</v>
      </c>
      <c r="G21" s="61" t="s">
        <v>158</v>
      </c>
      <c r="H21" s="15" t="s">
        <v>104</v>
      </c>
      <c r="I21" s="81" t="s">
        <v>121</v>
      </c>
      <c r="J21" s="82" t="s">
        <v>34</v>
      </c>
      <c r="K21" s="82" t="s">
        <v>35</v>
      </c>
      <c r="L21" s="21"/>
      <c r="M21" s="26"/>
      <c r="N21" s="22"/>
      <c r="O21" s="21"/>
      <c r="P21" s="22"/>
      <c r="Q21" s="21"/>
      <c r="R21" s="26"/>
      <c r="S21" s="22"/>
      <c r="T21" s="23"/>
      <c r="U21" s="26"/>
      <c r="V21" s="24"/>
      <c r="W21" s="24" t="s">
        <v>36</v>
      </c>
      <c r="X21" s="25"/>
      <c r="Y21" s="83" t="s">
        <v>122</v>
      </c>
      <c r="Z21" s="84" t="s">
        <v>123</v>
      </c>
      <c r="AA21" s="85" t="s">
        <v>39</v>
      </c>
      <c r="AB21" s="29" t="s">
        <v>159</v>
      </c>
      <c r="AC21" s="91" t="s">
        <v>160</v>
      </c>
      <c r="AD21" s="91" t="s">
        <v>160</v>
      </c>
      <c r="AE21" s="86"/>
      <c r="AF21" s="80"/>
      <c r="AG21" s="30"/>
      <c r="AH21" s="30"/>
      <c r="AI21" s="30"/>
      <c r="AJ21" s="30"/>
      <c r="AK21" s="30"/>
      <c r="AL21" s="30"/>
      <c r="AM21" s="30"/>
      <c r="AN21" s="30"/>
      <c r="AO21" s="30"/>
      <c r="AP21" s="30"/>
      <c r="AQ21" s="30"/>
      <c r="AR21" s="30"/>
      <c r="AS21" s="30"/>
      <c r="AT21" s="30"/>
    </row>
    <row r="22" spans="1:46" ht="78" customHeight="1">
      <c r="A22" s="14" t="s">
        <v>31</v>
      </c>
      <c r="B22" s="14" t="s">
        <v>156</v>
      </c>
      <c r="C22" s="14" t="s">
        <v>9</v>
      </c>
      <c r="D22" s="90" t="s">
        <v>142</v>
      </c>
      <c r="E22" s="102" t="s">
        <v>178</v>
      </c>
      <c r="F22" s="92" t="s">
        <v>143</v>
      </c>
      <c r="G22" s="61" t="s">
        <v>158</v>
      </c>
      <c r="H22" s="15" t="s">
        <v>107</v>
      </c>
      <c r="I22" s="41" t="s">
        <v>125</v>
      </c>
      <c r="J22" s="17" t="s">
        <v>34</v>
      </c>
      <c r="K22" s="17" t="s">
        <v>35</v>
      </c>
      <c r="L22" s="31" t="s">
        <v>36</v>
      </c>
      <c r="M22" s="32"/>
      <c r="N22" s="33"/>
      <c r="O22" s="31" t="s">
        <v>36</v>
      </c>
      <c r="P22" s="36"/>
      <c r="Q22" s="34"/>
      <c r="R22" s="14" t="s">
        <v>36</v>
      </c>
      <c r="S22" s="36" t="s">
        <v>36</v>
      </c>
      <c r="T22" s="38"/>
      <c r="U22" s="37"/>
      <c r="V22" s="14"/>
      <c r="W22" s="14" t="s">
        <v>36</v>
      </c>
      <c r="X22" s="36"/>
      <c r="Y22" s="27" t="s">
        <v>126</v>
      </c>
      <c r="Z22" s="28" t="s">
        <v>127</v>
      </c>
      <c r="AA22" s="29" t="s">
        <v>39</v>
      </c>
      <c r="AB22" s="29" t="s">
        <v>159</v>
      </c>
      <c r="AC22" s="91" t="s">
        <v>160</v>
      </c>
      <c r="AD22" s="91" t="s">
        <v>160</v>
      </c>
      <c r="AE22" s="57" t="s">
        <v>179</v>
      </c>
      <c r="AF22" s="15"/>
      <c r="AG22" s="30"/>
      <c r="AH22" s="30"/>
      <c r="AI22" s="30"/>
      <c r="AJ22" s="30"/>
      <c r="AK22" s="30"/>
      <c r="AL22" s="30"/>
      <c r="AM22" s="30"/>
      <c r="AN22" s="30"/>
      <c r="AO22" s="30"/>
      <c r="AP22" s="30"/>
      <c r="AQ22" s="30"/>
      <c r="AR22" s="30"/>
      <c r="AS22" s="30"/>
      <c r="AT22" s="30"/>
    </row>
    <row r="23" spans="1:46" ht="164.25" customHeight="1">
      <c r="A23" s="14" t="s">
        <v>31</v>
      </c>
      <c r="B23" s="14" t="s">
        <v>156</v>
      </c>
      <c r="C23" s="14" t="s">
        <v>9</v>
      </c>
      <c r="D23" s="92" t="s">
        <v>142</v>
      </c>
      <c r="E23" s="104" t="s">
        <v>180</v>
      </c>
      <c r="F23" s="92" t="s">
        <v>143</v>
      </c>
      <c r="G23" s="103" t="s">
        <v>181</v>
      </c>
      <c r="H23" s="15" t="s">
        <v>113</v>
      </c>
      <c r="I23" s="41" t="s">
        <v>130</v>
      </c>
      <c r="J23" s="39" t="s">
        <v>63</v>
      </c>
      <c r="K23" s="17" t="s">
        <v>35</v>
      </c>
      <c r="L23" s="31" t="s">
        <v>36</v>
      </c>
      <c r="M23" s="32"/>
      <c r="N23" s="33"/>
      <c r="O23" s="31"/>
      <c r="P23" s="36" t="s">
        <v>36</v>
      </c>
      <c r="Q23" s="31" t="s">
        <v>36</v>
      </c>
      <c r="R23" s="14"/>
      <c r="S23" s="36"/>
      <c r="T23" s="38"/>
      <c r="U23" s="37"/>
      <c r="V23" s="14"/>
      <c r="W23" s="14" t="s">
        <v>36</v>
      </c>
      <c r="X23" s="36"/>
      <c r="Y23" s="27" t="s">
        <v>131</v>
      </c>
      <c r="Z23" s="28" t="s">
        <v>132</v>
      </c>
      <c r="AA23" s="29" t="s">
        <v>39</v>
      </c>
      <c r="AB23" s="29" t="s">
        <v>159</v>
      </c>
      <c r="AC23" s="91" t="s">
        <v>160</v>
      </c>
      <c r="AD23" s="91" t="s">
        <v>160</v>
      </c>
      <c r="AE23" s="58" t="s">
        <v>182</v>
      </c>
      <c r="AF23" s="15"/>
    </row>
    <row r="24" spans="1:46" ht="54" customHeight="1">
      <c r="A24" s="14" t="s">
        <v>31</v>
      </c>
      <c r="B24" s="14" t="s">
        <v>156</v>
      </c>
      <c r="C24" s="14" t="s">
        <v>9</v>
      </c>
      <c r="D24" s="92" t="s">
        <v>142</v>
      </c>
      <c r="E24" s="102" t="s">
        <v>183</v>
      </c>
      <c r="F24" s="92" t="s">
        <v>143</v>
      </c>
      <c r="G24" s="61" t="s">
        <v>158</v>
      </c>
      <c r="H24" s="15" t="s">
        <v>117</v>
      </c>
      <c r="I24" s="16" t="s">
        <v>135</v>
      </c>
      <c r="J24" s="17" t="s">
        <v>34</v>
      </c>
      <c r="K24" s="17" t="s">
        <v>35</v>
      </c>
      <c r="L24" s="31" t="s">
        <v>36</v>
      </c>
      <c r="M24" s="32"/>
      <c r="N24" s="33"/>
      <c r="O24" s="31"/>
      <c r="P24" s="36" t="s">
        <v>36</v>
      </c>
      <c r="Q24" s="31" t="s">
        <v>36</v>
      </c>
      <c r="R24" s="14"/>
      <c r="S24" s="36"/>
      <c r="T24" s="38"/>
      <c r="U24" s="37"/>
      <c r="V24" s="14"/>
      <c r="W24" s="14"/>
      <c r="X24" s="36" t="s">
        <v>36</v>
      </c>
      <c r="Y24" s="27" t="s">
        <v>136</v>
      </c>
      <c r="Z24" s="28" t="s">
        <v>92</v>
      </c>
      <c r="AA24" s="29" t="s">
        <v>39</v>
      </c>
      <c r="AB24" s="29" t="s">
        <v>159</v>
      </c>
      <c r="AC24" s="91" t="s">
        <v>160</v>
      </c>
      <c r="AD24" s="91" t="s">
        <v>160</v>
      </c>
      <c r="AE24" s="16" t="s">
        <v>184</v>
      </c>
      <c r="AF24" s="15"/>
      <c r="AG24" s="30"/>
      <c r="AH24" s="30"/>
      <c r="AI24" s="30"/>
      <c r="AJ24" s="30"/>
      <c r="AK24" s="30"/>
      <c r="AL24" s="30"/>
      <c r="AM24" s="30"/>
      <c r="AN24" s="30"/>
      <c r="AO24" s="30"/>
      <c r="AP24" s="30"/>
      <c r="AQ24" s="30"/>
      <c r="AR24" s="30"/>
      <c r="AS24" s="30"/>
      <c r="AT24" s="30"/>
    </row>
    <row r="25" spans="1:46" ht="141.75" customHeight="1">
      <c r="A25" s="14" t="s">
        <v>31</v>
      </c>
      <c r="B25" s="14" t="s">
        <v>156</v>
      </c>
      <c r="C25" s="14" t="s">
        <v>9</v>
      </c>
      <c r="D25" s="90" t="s">
        <v>142</v>
      </c>
      <c r="E25" s="102" t="s">
        <v>157</v>
      </c>
      <c r="F25" s="90" t="s">
        <v>143</v>
      </c>
      <c r="G25" s="61" t="s">
        <v>158</v>
      </c>
      <c r="H25" s="15" t="s">
        <v>120</v>
      </c>
      <c r="I25" s="41" t="s">
        <v>138</v>
      </c>
      <c r="J25" s="45" t="s">
        <v>34</v>
      </c>
      <c r="K25" s="17" t="s">
        <v>35</v>
      </c>
      <c r="L25" s="34"/>
      <c r="M25" s="37"/>
      <c r="N25" s="35"/>
      <c r="O25" s="34"/>
      <c r="P25" s="35"/>
      <c r="Q25" s="34"/>
      <c r="R25" s="37"/>
      <c r="S25" s="35"/>
      <c r="T25" s="34"/>
      <c r="U25" s="37"/>
      <c r="V25" s="37"/>
      <c r="W25" s="37"/>
      <c r="X25" s="35"/>
      <c r="Y25" s="27" t="s">
        <v>139</v>
      </c>
      <c r="Z25" s="40" t="s">
        <v>140</v>
      </c>
      <c r="AA25" s="29" t="s">
        <v>39</v>
      </c>
      <c r="AB25" s="29" t="s">
        <v>159</v>
      </c>
      <c r="AC25" s="91" t="s">
        <v>160</v>
      </c>
      <c r="AD25" s="91" t="s">
        <v>160</v>
      </c>
      <c r="AE25" s="16"/>
      <c r="AF25" s="15"/>
    </row>
    <row r="26" spans="1:46" ht="15.75" customHeight="1">
      <c r="I26" s="59"/>
    </row>
    <row r="27" spans="1:46" ht="15.75" customHeight="1">
      <c r="I27" s="59"/>
    </row>
    <row r="28" spans="1:46" ht="15.75" customHeight="1">
      <c r="I28" s="59"/>
      <c r="AA28" s="10" t="s">
        <v>141</v>
      </c>
      <c r="AB28" s="1"/>
      <c r="AC28" s="1"/>
    </row>
    <row r="29" spans="1:46" ht="15.75" customHeight="1">
      <c r="I29" s="59"/>
      <c r="AB29" s="3"/>
      <c r="AC29" s="3"/>
    </row>
    <row r="30" spans="1:46" ht="15.75" customHeight="1">
      <c r="I30" s="59"/>
      <c r="AB30" s="4" t="s">
        <v>142</v>
      </c>
      <c r="AC30" s="4" t="s">
        <v>143</v>
      </c>
    </row>
    <row r="31" spans="1:46" ht="15.75" customHeight="1">
      <c r="I31" s="59"/>
      <c r="AA31" s="5" t="s">
        <v>40</v>
      </c>
      <c r="AB31" s="7">
        <f>COUNTIF(AC4:AC25,"Not Start")</f>
        <v>0</v>
      </c>
      <c r="AC31" s="7">
        <f>COUNTIF(AD4:AD25,"Not Start")</f>
        <v>0</v>
      </c>
    </row>
    <row r="32" spans="1:46" ht="15.75" customHeight="1">
      <c r="I32" s="59"/>
      <c r="AA32" s="5" t="s">
        <v>144</v>
      </c>
      <c r="AB32" s="7">
        <f>COUNTIF(AC4:AC25,"Inprogress")</f>
        <v>0</v>
      </c>
      <c r="AC32" s="7">
        <f>COUNTIF(AD4:AD25,"Inprogress")</f>
        <v>0</v>
      </c>
    </row>
    <row r="33" spans="9:29" ht="15.75" customHeight="1">
      <c r="I33" s="59"/>
      <c r="AA33" s="5" t="s">
        <v>145</v>
      </c>
      <c r="AB33" s="7">
        <f>COUNTIF(AC4:AC25,"Skip")</f>
        <v>5</v>
      </c>
      <c r="AC33" s="7">
        <f>COUNTIF(AD4:AD25,"Skip")</f>
        <v>5</v>
      </c>
    </row>
    <row r="34" spans="9:29" ht="15.75" customHeight="1">
      <c r="I34" s="59"/>
      <c r="AA34" s="5" t="s">
        <v>146</v>
      </c>
      <c r="AB34" s="7">
        <f>COUNTIF(AC4:AC25,"Failed")</f>
        <v>0</v>
      </c>
      <c r="AC34" s="7">
        <f>COUNTIF(AD4:AD25,"Failed")</f>
        <v>0</v>
      </c>
    </row>
    <row r="35" spans="9:29" ht="15.75" customHeight="1">
      <c r="I35" s="59"/>
      <c r="AA35" s="5" t="s">
        <v>147</v>
      </c>
      <c r="AB35" s="7">
        <f>COUNTIF(AC4:AC25,"block")</f>
        <v>0</v>
      </c>
      <c r="AC35" s="7">
        <f>COUNTIF(AD4:AD25,"block")</f>
        <v>0</v>
      </c>
    </row>
    <row r="36" spans="9:29" ht="15.75" customHeight="1">
      <c r="I36" s="59"/>
      <c r="AA36" s="5" t="s">
        <v>148</v>
      </c>
      <c r="AB36" s="6">
        <f>COUNTIF(AC4:AC25,"Passed")</f>
        <v>17</v>
      </c>
      <c r="AC36" s="6">
        <f>COUNTIF(AD4:AD25,"Passed")</f>
        <v>17</v>
      </c>
    </row>
    <row r="37" spans="9:29" ht="15.75" customHeight="1">
      <c r="I37" s="59"/>
    </row>
    <row r="38" spans="9:29" ht="15.75" customHeight="1">
      <c r="I38" s="59"/>
      <c r="AB38" s="4" t="s">
        <v>142</v>
      </c>
      <c r="AC38" s="4" t="s">
        <v>143</v>
      </c>
    </row>
    <row r="39" spans="9:29" ht="15.75" customHeight="1">
      <c r="I39" s="59"/>
      <c r="AA39" s="5" t="s">
        <v>149</v>
      </c>
      <c r="AB39" s="8">
        <f t="shared" ref="AB39:AC39" si="0">AB36/(AB36+AB31+AB32+AB34)</f>
        <v>1</v>
      </c>
      <c r="AC39" s="8">
        <f t="shared" si="0"/>
        <v>1</v>
      </c>
    </row>
    <row r="40" spans="9:29" ht="15.75" customHeight="1">
      <c r="I40" s="59"/>
    </row>
    <row r="41" spans="9:29" ht="15.75" customHeight="1">
      <c r="I41" s="59"/>
    </row>
    <row r="42" spans="9:29" ht="15.75" customHeight="1">
      <c r="I42" s="59"/>
    </row>
    <row r="43" spans="9:29" ht="15.75" customHeight="1">
      <c r="I43" s="59"/>
    </row>
    <row r="44" spans="9:29" ht="15.75" customHeight="1">
      <c r="I44" s="59"/>
    </row>
    <row r="45" spans="9:29" ht="15.75" customHeight="1">
      <c r="I45" s="59"/>
    </row>
    <row r="46" spans="9:29" ht="15.75" customHeight="1">
      <c r="I46" s="59"/>
    </row>
    <row r="47" spans="9:29" ht="15.75" customHeight="1">
      <c r="I47" s="59"/>
    </row>
    <row r="48" spans="9:29" ht="15.75" customHeight="1">
      <c r="I48" s="59"/>
    </row>
    <row r="49" spans="9:9" ht="15.75" customHeight="1">
      <c r="I49" s="59"/>
    </row>
    <row r="50" spans="9:9" ht="15.75" customHeight="1">
      <c r="I50" s="59"/>
    </row>
    <row r="51" spans="9:9" ht="15.75" customHeight="1">
      <c r="I51" s="59"/>
    </row>
    <row r="52" spans="9:9" ht="15.75" customHeight="1">
      <c r="I52" s="59"/>
    </row>
    <row r="53" spans="9:9" ht="15.75" customHeight="1">
      <c r="I53" s="59"/>
    </row>
    <row r="54" spans="9:9" ht="15.75" customHeight="1">
      <c r="I54" s="59"/>
    </row>
    <row r="55" spans="9:9" ht="15.75" customHeight="1">
      <c r="I55" s="59"/>
    </row>
    <row r="56" spans="9:9" ht="15.75" customHeight="1">
      <c r="I56" s="59"/>
    </row>
    <row r="57" spans="9:9" ht="15.75" customHeight="1">
      <c r="I57" s="59"/>
    </row>
    <row r="58" spans="9:9" ht="15.75" customHeight="1">
      <c r="I58" s="59"/>
    </row>
    <row r="59" spans="9:9" ht="15.75" customHeight="1">
      <c r="I59" s="59"/>
    </row>
    <row r="60" spans="9:9" ht="15.75" customHeight="1">
      <c r="I60" s="59"/>
    </row>
    <row r="61" spans="9:9" ht="15.75" customHeight="1">
      <c r="I61" s="59"/>
    </row>
    <row r="62" spans="9:9" ht="15.75" customHeight="1">
      <c r="I62" s="59"/>
    </row>
    <row r="63" spans="9:9" ht="15.75" customHeight="1">
      <c r="I63" s="59"/>
    </row>
    <row r="64" spans="9:9" ht="15.75" customHeight="1">
      <c r="I64" s="59"/>
    </row>
    <row r="65" spans="9:9" ht="15.75" customHeight="1">
      <c r="I65" s="59"/>
    </row>
    <row r="66" spans="9:9" ht="15.75" customHeight="1">
      <c r="I66" s="59"/>
    </row>
    <row r="67" spans="9:9" ht="15.75" customHeight="1">
      <c r="I67" s="59"/>
    </row>
    <row r="68" spans="9:9" ht="15.75" customHeight="1">
      <c r="I68" s="59"/>
    </row>
    <row r="69" spans="9:9" ht="15.75" customHeight="1">
      <c r="I69" s="59"/>
    </row>
    <row r="70" spans="9:9" ht="15.75" customHeight="1">
      <c r="I70" s="59"/>
    </row>
    <row r="71" spans="9:9" ht="15.75" customHeight="1">
      <c r="I71" s="59"/>
    </row>
    <row r="72" spans="9:9" ht="15.75" customHeight="1">
      <c r="I72" s="59"/>
    </row>
    <row r="73" spans="9:9" ht="15.75" customHeight="1">
      <c r="I73" s="59"/>
    </row>
    <row r="74" spans="9:9" ht="15.75" customHeight="1">
      <c r="I74" s="59"/>
    </row>
    <row r="75" spans="9:9" ht="15.75" customHeight="1">
      <c r="I75" s="59"/>
    </row>
    <row r="76" spans="9:9" ht="15.75" customHeight="1">
      <c r="I76" s="59"/>
    </row>
    <row r="77" spans="9:9" ht="15.75" customHeight="1">
      <c r="I77" s="59"/>
    </row>
    <row r="78" spans="9:9" ht="15.75" customHeight="1">
      <c r="I78" s="59"/>
    </row>
    <row r="79" spans="9:9" ht="15.75" customHeight="1">
      <c r="I79" s="59"/>
    </row>
    <row r="80" spans="9:9" ht="15.75" customHeight="1">
      <c r="I80" s="59"/>
    </row>
    <row r="81" spans="9:9" ht="15.75" customHeight="1">
      <c r="I81" s="59"/>
    </row>
    <row r="82" spans="9:9" ht="15.75" customHeight="1">
      <c r="I82" s="59"/>
    </row>
    <row r="83" spans="9:9" ht="15.75" customHeight="1">
      <c r="I83" s="59"/>
    </row>
    <row r="84" spans="9:9" ht="15.75" customHeight="1">
      <c r="I84" s="59"/>
    </row>
    <row r="85" spans="9:9" ht="15.75" customHeight="1">
      <c r="I85" s="59"/>
    </row>
    <row r="86" spans="9:9" ht="15.75" customHeight="1">
      <c r="I86" s="59"/>
    </row>
    <row r="87" spans="9:9" ht="15.75" customHeight="1">
      <c r="I87" s="59"/>
    </row>
    <row r="88" spans="9:9" ht="15.75" customHeight="1">
      <c r="I88" s="59"/>
    </row>
    <row r="89" spans="9:9" ht="15.75" customHeight="1">
      <c r="I89" s="59"/>
    </row>
    <row r="90" spans="9:9" ht="15.75" customHeight="1">
      <c r="I90" s="59"/>
    </row>
    <row r="91" spans="9:9" ht="15.75" customHeight="1">
      <c r="I91" s="59"/>
    </row>
    <row r="92" spans="9:9" ht="15.75" customHeight="1">
      <c r="I92" s="59"/>
    </row>
    <row r="93" spans="9:9" ht="15.75" customHeight="1">
      <c r="I93" s="59"/>
    </row>
    <row r="94" spans="9:9" ht="15.75" customHeight="1">
      <c r="I94" s="59"/>
    </row>
    <row r="95" spans="9:9" ht="15.75" customHeight="1">
      <c r="I95" s="59"/>
    </row>
    <row r="96" spans="9:9" ht="15.75" customHeight="1">
      <c r="I96" s="59"/>
    </row>
    <row r="97" spans="9:9" ht="15.75" customHeight="1">
      <c r="I97" s="59"/>
    </row>
    <row r="98" spans="9:9" ht="15.75" customHeight="1">
      <c r="I98" s="59"/>
    </row>
    <row r="99" spans="9:9" ht="15.75" customHeight="1">
      <c r="I99" s="59"/>
    </row>
    <row r="100" spans="9:9" ht="15.75" customHeight="1">
      <c r="I100" s="59"/>
    </row>
    <row r="101" spans="9:9" ht="15.75" customHeight="1">
      <c r="I101" s="59"/>
    </row>
    <row r="102" spans="9:9" ht="15.75" customHeight="1">
      <c r="I102" s="59"/>
    </row>
    <row r="103" spans="9:9" ht="15.75" customHeight="1">
      <c r="I103" s="59"/>
    </row>
    <row r="104" spans="9:9" ht="15.75" customHeight="1">
      <c r="I104" s="59"/>
    </row>
    <row r="105" spans="9:9" ht="15.75" customHeight="1">
      <c r="I105" s="59"/>
    </row>
    <row r="106" spans="9:9" ht="15.75" customHeight="1">
      <c r="I106" s="59"/>
    </row>
    <row r="107" spans="9:9" ht="15.75" customHeight="1">
      <c r="I107" s="59"/>
    </row>
    <row r="108" spans="9:9" ht="15.75" customHeight="1">
      <c r="I108" s="59"/>
    </row>
    <row r="109" spans="9:9" ht="15.75" customHeight="1">
      <c r="I109" s="59"/>
    </row>
    <row r="110" spans="9:9" ht="15.75" customHeight="1">
      <c r="I110" s="59"/>
    </row>
    <row r="111" spans="9:9" ht="15.75" customHeight="1">
      <c r="I111" s="59"/>
    </row>
    <row r="112" spans="9:9" ht="15.75" customHeight="1">
      <c r="I112" s="59"/>
    </row>
    <row r="113" spans="9:9" ht="15.75" customHeight="1">
      <c r="I113" s="59"/>
    </row>
    <row r="114" spans="9:9" ht="15.75" customHeight="1">
      <c r="I114" s="59"/>
    </row>
    <row r="115" spans="9:9" ht="15.75" customHeight="1">
      <c r="I115" s="59"/>
    </row>
    <row r="116" spans="9:9" ht="15.75" customHeight="1">
      <c r="I116" s="59"/>
    </row>
    <row r="117" spans="9:9" ht="15.75" customHeight="1">
      <c r="I117" s="59"/>
    </row>
    <row r="118" spans="9:9" ht="15.75" customHeight="1">
      <c r="I118" s="59"/>
    </row>
    <row r="119" spans="9:9" ht="15.75" customHeight="1">
      <c r="I119" s="59"/>
    </row>
    <row r="120" spans="9:9" ht="15.75" customHeight="1">
      <c r="I120" s="59"/>
    </row>
    <row r="121" spans="9:9" ht="15.75" customHeight="1">
      <c r="I121" s="59"/>
    </row>
    <row r="122" spans="9:9" ht="15.75" customHeight="1">
      <c r="I122" s="59"/>
    </row>
    <row r="123" spans="9:9" ht="15.75" customHeight="1">
      <c r="I123" s="59"/>
    </row>
    <row r="124" spans="9:9" ht="15.75" customHeight="1">
      <c r="I124" s="59"/>
    </row>
    <row r="125" spans="9:9" ht="15.75" customHeight="1">
      <c r="I125" s="59"/>
    </row>
    <row r="126" spans="9:9" ht="15.75" customHeight="1">
      <c r="I126" s="59"/>
    </row>
    <row r="127" spans="9:9" ht="15.75" customHeight="1">
      <c r="I127" s="59"/>
    </row>
    <row r="128" spans="9:9" ht="15.75" customHeight="1">
      <c r="I128" s="59"/>
    </row>
    <row r="129" spans="9:9" ht="15.75" customHeight="1">
      <c r="I129" s="59"/>
    </row>
    <row r="130" spans="9:9" ht="15.75" customHeight="1">
      <c r="I130" s="59"/>
    </row>
    <row r="131" spans="9:9" ht="15.75" customHeight="1">
      <c r="I131" s="59"/>
    </row>
    <row r="132" spans="9:9" ht="15.75" customHeight="1">
      <c r="I132" s="59"/>
    </row>
    <row r="133" spans="9:9" ht="15.75" customHeight="1">
      <c r="I133" s="59"/>
    </row>
    <row r="134" spans="9:9" ht="15.75" customHeight="1">
      <c r="I134" s="59"/>
    </row>
    <row r="135" spans="9:9" ht="15.75" customHeight="1">
      <c r="I135" s="59"/>
    </row>
    <row r="136" spans="9:9" ht="15.75" customHeight="1">
      <c r="I136" s="59"/>
    </row>
    <row r="137" spans="9:9" ht="15.75" customHeight="1">
      <c r="I137" s="59"/>
    </row>
    <row r="138" spans="9:9" ht="15.75" customHeight="1">
      <c r="I138" s="59"/>
    </row>
    <row r="139" spans="9:9" ht="15.75" customHeight="1">
      <c r="I139" s="59"/>
    </row>
    <row r="140" spans="9:9" ht="15.75" customHeight="1">
      <c r="I140" s="59"/>
    </row>
    <row r="141" spans="9:9" ht="15.75" customHeight="1">
      <c r="I141" s="59"/>
    </row>
    <row r="142" spans="9:9" ht="15.75" customHeight="1">
      <c r="I142" s="59"/>
    </row>
    <row r="143" spans="9:9" ht="15.75" customHeight="1">
      <c r="I143" s="59"/>
    </row>
    <row r="144" spans="9:9" ht="15.75" customHeight="1">
      <c r="I144" s="59"/>
    </row>
    <row r="145" spans="9:9" ht="15.75" customHeight="1">
      <c r="I145" s="59"/>
    </row>
    <row r="146" spans="9:9" ht="15.75" customHeight="1">
      <c r="I146" s="59"/>
    </row>
    <row r="147" spans="9:9" ht="15.75" customHeight="1">
      <c r="I147" s="59"/>
    </row>
    <row r="148" spans="9:9" ht="15.75" customHeight="1">
      <c r="I148" s="59"/>
    </row>
    <row r="149" spans="9:9" ht="15.75" customHeight="1">
      <c r="I149" s="59"/>
    </row>
    <row r="150" spans="9:9" ht="15.75" customHeight="1">
      <c r="I150" s="59"/>
    </row>
    <row r="151" spans="9:9" ht="15.75" customHeight="1">
      <c r="I151" s="59"/>
    </row>
    <row r="152" spans="9:9" ht="15.75" customHeight="1">
      <c r="I152" s="59"/>
    </row>
    <row r="153" spans="9:9" ht="15.75" customHeight="1">
      <c r="I153" s="59"/>
    </row>
    <row r="154" spans="9:9" ht="15.75" customHeight="1">
      <c r="I154" s="59"/>
    </row>
    <row r="155" spans="9:9" ht="15.75" customHeight="1">
      <c r="I155" s="59"/>
    </row>
    <row r="156" spans="9:9" ht="15.75" customHeight="1">
      <c r="I156" s="59"/>
    </row>
    <row r="157" spans="9:9" ht="15.75" customHeight="1">
      <c r="I157" s="59"/>
    </row>
    <row r="158" spans="9:9" ht="15.75" customHeight="1">
      <c r="I158" s="59"/>
    </row>
    <row r="159" spans="9:9" ht="15.75" customHeight="1">
      <c r="I159" s="59"/>
    </row>
    <row r="160" spans="9:9" ht="15.75" customHeight="1">
      <c r="I160" s="59"/>
    </row>
    <row r="161" spans="9:9" ht="15.75" customHeight="1">
      <c r="I161" s="59"/>
    </row>
    <row r="162" spans="9:9" ht="15.75" customHeight="1">
      <c r="I162" s="59"/>
    </row>
    <row r="163" spans="9:9" ht="15.75" customHeight="1">
      <c r="I163" s="59"/>
    </row>
    <row r="164" spans="9:9" ht="15.75" customHeight="1">
      <c r="I164" s="59"/>
    </row>
    <row r="165" spans="9:9" ht="15.75" customHeight="1">
      <c r="I165" s="59"/>
    </row>
    <row r="166" spans="9:9" ht="15.75" customHeight="1">
      <c r="I166" s="59"/>
    </row>
    <row r="167" spans="9:9" ht="15.75" customHeight="1">
      <c r="I167" s="59"/>
    </row>
    <row r="168" spans="9:9" ht="15.75" customHeight="1">
      <c r="I168" s="59"/>
    </row>
    <row r="169" spans="9:9" ht="15.75" customHeight="1">
      <c r="I169" s="59"/>
    </row>
    <row r="170" spans="9:9" ht="15.75" customHeight="1">
      <c r="I170" s="59"/>
    </row>
    <row r="171" spans="9:9" ht="15.75" customHeight="1">
      <c r="I171" s="59"/>
    </row>
    <row r="172" spans="9:9" ht="15.75" customHeight="1">
      <c r="I172" s="59"/>
    </row>
    <row r="173" spans="9:9" ht="15.75" customHeight="1">
      <c r="I173" s="59"/>
    </row>
    <row r="174" spans="9:9" ht="15.75" customHeight="1">
      <c r="I174" s="59"/>
    </row>
    <row r="175" spans="9:9" ht="15.75" customHeight="1">
      <c r="I175" s="59"/>
    </row>
    <row r="176" spans="9:9" ht="15.75" customHeight="1">
      <c r="I176" s="59"/>
    </row>
    <row r="177" spans="9:9" ht="15.75" customHeight="1">
      <c r="I177" s="59"/>
    </row>
    <row r="178" spans="9:9" ht="15.75" customHeight="1">
      <c r="I178" s="59"/>
    </row>
    <row r="179" spans="9:9" ht="15.75" customHeight="1">
      <c r="I179" s="59"/>
    </row>
    <row r="180" spans="9:9" ht="15.75" customHeight="1">
      <c r="I180" s="59"/>
    </row>
    <row r="181" spans="9:9" ht="15.75" customHeight="1">
      <c r="I181" s="59"/>
    </row>
    <row r="182" spans="9:9" ht="15.75" customHeight="1">
      <c r="I182" s="59"/>
    </row>
    <row r="183" spans="9:9" ht="15.75" customHeight="1">
      <c r="I183" s="59"/>
    </row>
    <row r="184" spans="9:9" ht="15.75" customHeight="1">
      <c r="I184" s="59"/>
    </row>
    <row r="185" spans="9:9" ht="15.75" customHeight="1">
      <c r="I185" s="59"/>
    </row>
    <row r="186" spans="9:9" ht="15.75" customHeight="1">
      <c r="I186" s="59"/>
    </row>
    <row r="187" spans="9:9" ht="15.75" customHeight="1">
      <c r="I187" s="59"/>
    </row>
    <row r="188" spans="9:9" ht="15.75" customHeight="1">
      <c r="I188" s="59"/>
    </row>
    <row r="189" spans="9:9" ht="15.75" customHeight="1">
      <c r="I189" s="59"/>
    </row>
    <row r="190" spans="9:9" ht="15.75" customHeight="1">
      <c r="I190" s="59"/>
    </row>
    <row r="191" spans="9:9" ht="15.75" customHeight="1">
      <c r="I191" s="59"/>
    </row>
    <row r="192" spans="9:9" ht="15.75" customHeight="1">
      <c r="I192" s="59"/>
    </row>
    <row r="193" spans="9:9" ht="15.75" customHeight="1">
      <c r="I193" s="59"/>
    </row>
    <row r="194" spans="9:9" ht="15.75" customHeight="1">
      <c r="I194" s="59"/>
    </row>
    <row r="195" spans="9:9" ht="15.75" customHeight="1">
      <c r="I195" s="59"/>
    </row>
    <row r="196" spans="9:9" ht="15.75" customHeight="1">
      <c r="I196" s="59"/>
    </row>
    <row r="197" spans="9:9" ht="15.75" customHeight="1">
      <c r="I197" s="59"/>
    </row>
    <row r="198" spans="9:9" ht="15.75" customHeight="1">
      <c r="I198" s="59"/>
    </row>
    <row r="199" spans="9:9" ht="15.75" customHeight="1">
      <c r="I199" s="59"/>
    </row>
    <row r="200" spans="9:9" ht="15.75" customHeight="1">
      <c r="I200" s="59"/>
    </row>
    <row r="201" spans="9:9" ht="15.75" customHeight="1">
      <c r="I201" s="59"/>
    </row>
    <row r="202" spans="9:9" ht="15.75" customHeight="1">
      <c r="I202" s="59"/>
    </row>
    <row r="203" spans="9:9" ht="15.75" customHeight="1">
      <c r="I203" s="59"/>
    </row>
    <row r="204" spans="9:9" ht="15.75" customHeight="1">
      <c r="I204" s="59"/>
    </row>
    <row r="205" spans="9:9" ht="15.75" customHeight="1">
      <c r="I205" s="59"/>
    </row>
    <row r="206" spans="9:9" ht="15.75" customHeight="1">
      <c r="I206" s="59"/>
    </row>
    <row r="207" spans="9:9" ht="15.75" customHeight="1">
      <c r="I207" s="59"/>
    </row>
    <row r="208" spans="9:9" ht="15.75" customHeight="1">
      <c r="I208" s="59"/>
    </row>
    <row r="209" spans="9:9" ht="15.75" customHeight="1">
      <c r="I209" s="59"/>
    </row>
    <row r="210" spans="9:9" ht="15.75" customHeight="1">
      <c r="I210" s="59"/>
    </row>
    <row r="211" spans="9:9" ht="15.75" customHeight="1">
      <c r="I211" s="59"/>
    </row>
    <row r="212" spans="9:9" ht="15.75" customHeight="1">
      <c r="I212" s="59"/>
    </row>
    <row r="213" spans="9:9" ht="15.75" customHeight="1">
      <c r="I213" s="59"/>
    </row>
    <row r="214" spans="9:9" ht="15.75" customHeight="1">
      <c r="I214" s="59"/>
    </row>
    <row r="215" spans="9:9" ht="15.75" customHeight="1">
      <c r="I215" s="59"/>
    </row>
    <row r="216" spans="9:9" ht="15.75" customHeight="1">
      <c r="I216" s="59"/>
    </row>
    <row r="217" spans="9:9" ht="15.75" customHeight="1">
      <c r="I217" s="59"/>
    </row>
    <row r="218" spans="9:9" ht="15.75" customHeight="1">
      <c r="I218" s="59"/>
    </row>
    <row r="219" spans="9:9" ht="15.75" customHeight="1">
      <c r="I219" s="59"/>
    </row>
    <row r="220" spans="9:9" ht="15.75" customHeight="1">
      <c r="I220" s="59"/>
    </row>
    <row r="221" spans="9:9" ht="15.75" customHeight="1">
      <c r="I221" s="59"/>
    </row>
    <row r="222" spans="9:9" ht="15.75" customHeight="1">
      <c r="I222" s="59"/>
    </row>
    <row r="223" spans="9:9" ht="15.75" customHeight="1">
      <c r="I223" s="59"/>
    </row>
    <row r="224" spans="9:9" ht="15.75" customHeight="1">
      <c r="I224" s="59"/>
    </row>
    <row r="225" spans="9:9" ht="15.75" customHeight="1">
      <c r="I225" s="59"/>
    </row>
    <row r="226" spans="9:9" ht="15.75" customHeight="1">
      <c r="I226" s="59"/>
    </row>
    <row r="227" spans="9:9" ht="15.75" customHeight="1">
      <c r="I227" s="59"/>
    </row>
    <row r="228" spans="9:9" ht="15.75" customHeight="1">
      <c r="I228" s="59"/>
    </row>
    <row r="229" spans="9:9" ht="15.75" customHeight="1">
      <c r="I229" s="59"/>
    </row>
    <row r="230" spans="9:9" ht="15.75" customHeight="1">
      <c r="I230" s="59"/>
    </row>
    <row r="231" spans="9:9" ht="15.75" customHeight="1">
      <c r="I231" s="59"/>
    </row>
    <row r="232" spans="9:9" ht="15.75" customHeight="1">
      <c r="I232" s="59"/>
    </row>
    <row r="233" spans="9:9" ht="15.75" customHeight="1">
      <c r="I233" s="59"/>
    </row>
    <row r="234" spans="9:9" ht="15.75" customHeight="1">
      <c r="I234" s="59"/>
    </row>
    <row r="235" spans="9:9" ht="15.75" customHeight="1">
      <c r="I235" s="59"/>
    </row>
    <row r="236" spans="9:9" ht="15.75" customHeight="1">
      <c r="I236" s="59"/>
    </row>
    <row r="237" spans="9:9" ht="15.75" customHeight="1">
      <c r="I237" s="59"/>
    </row>
    <row r="238" spans="9:9" ht="15.75" customHeight="1">
      <c r="I238" s="59"/>
    </row>
    <row r="239" spans="9:9" ht="15.75" customHeight="1">
      <c r="I239" s="59"/>
    </row>
    <row r="240" spans="9: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3">
    <mergeCell ref="W2:W3"/>
    <mergeCell ref="X2:X3"/>
    <mergeCell ref="P2:P3"/>
    <mergeCell ref="Q2:Q3"/>
    <mergeCell ref="R2:S2"/>
    <mergeCell ref="T2:T3"/>
    <mergeCell ref="U2:U3"/>
    <mergeCell ref="V2:V3"/>
    <mergeCell ref="AF1:AF3"/>
    <mergeCell ref="L1:N1"/>
    <mergeCell ref="O1:P1"/>
    <mergeCell ref="Q1:S1"/>
    <mergeCell ref="T1:X1"/>
    <mergeCell ref="Y1:Y3"/>
    <mergeCell ref="Z1:Z3"/>
    <mergeCell ref="L2:L3"/>
    <mergeCell ref="M2:M3"/>
    <mergeCell ref="N2:N3"/>
    <mergeCell ref="O2:O3"/>
    <mergeCell ref="AA1:AA3"/>
    <mergeCell ref="AB1:AB3"/>
    <mergeCell ref="AC1:AC3"/>
    <mergeCell ref="AD1:AD3"/>
    <mergeCell ref="AE1:AE3"/>
    <mergeCell ref="K1:K3"/>
    <mergeCell ref="A1:A3"/>
    <mergeCell ref="C1:C3"/>
    <mergeCell ref="H1:H3"/>
    <mergeCell ref="I1:I3"/>
    <mergeCell ref="J1:J3"/>
    <mergeCell ref="B1:B3"/>
    <mergeCell ref="D1:E2"/>
    <mergeCell ref="F1:G2"/>
  </mergeCells>
  <dataValidations count="3">
    <dataValidation type="list" allowBlank="1" showErrorMessage="1" sqref="J20:J25 J4:J17" xr:uid="{FC2F0122-59B8-424A-B6E6-FEC4D264340B}">
      <formula1>"Positive,Negative"</formula1>
    </dataValidation>
    <dataValidation type="list" allowBlank="1" showErrorMessage="1" sqref="AC4:AD25" xr:uid="{64472726-CCA9-42EB-BB4F-8F2C3341EF91}">
      <formula1>"Not Start,Inprogress,Failed,Passed,Skip,block"</formula1>
    </dataValidation>
    <dataValidation type="list" allowBlank="1" showErrorMessage="1" sqref="K4:K25" xr:uid="{29846880-D0F4-4D06-9203-14B8C319C0EB}">
      <formula1>"Online Channel,Offline Channel(Regression)"</formula1>
    </dataValidation>
  </dataValidations>
  <hyperlinks>
    <hyperlink ref="Z4" r:id="rId1" xr:uid="{72CDCCBD-5C40-4FBA-9999-767A3817368B}"/>
    <hyperlink ref="Z5" r:id="rId2" xr:uid="{1DEB9883-D792-4CD8-80DA-97E48D915A3A}"/>
    <hyperlink ref="Z6" r:id="rId3" xr:uid="{A7369DE5-A24F-41C1-A797-0134FD9A9BBC}"/>
    <hyperlink ref="Z7" r:id="rId4" xr:uid="{97C20BAB-E0D9-4463-BA88-03CC1CBF2DFA}"/>
    <hyperlink ref="Z8" r:id="rId5" xr:uid="{E91EBE02-FC37-4CC3-BE94-3F673C672E84}"/>
    <hyperlink ref="Z9" r:id="rId6" xr:uid="{18D20389-ADA2-42E3-823D-D5143FAAE92B}"/>
    <hyperlink ref="Z12" r:id="rId7" xr:uid="{A94C5259-CCFE-4F03-BF27-DBB3FBE1CE60}"/>
    <hyperlink ref="Z13" r:id="rId8" xr:uid="{599D4B46-5F7D-4420-8652-0E89FD997CC5}"/>
    <hyperlink ref="AE14" r:id="rId9" xr:uid="{5BD4FDE8-B61B-4EA1-9D0A-C82629F71FE9}"/>
    <hyperlink ref="Z21" r:id="rId10" xr:uid="{CF4D9328-759F-4218-AAE1-58CD6CC5D5C4}"/>
    <hyperlink ref="AE22" r:id="rId11" xr:uid="{7C13D26D-5080-4EB8-B5E5-E10C4C4B45FA}"/>
    <hyperlink ref="Z23" r:id="rId12" xr:uid="{A9DAA95A-8C24-49E0-8241-DF6BEAE76C93}"/>
    <hyperlink ref="AE23" r:id="rId13" xr:uid="{0437B68C-D801-4642-B62D-4E827D5E1838}"/>
    <hyperlink ref="Z24" r:id="rId14" xr:uid="{4E0E7263-FCCC-4560-A265-2521526352CA}"/>
    <hyperlink ref="Z18" r:id="rId15" xr:uid="{A0CB66B3-C5D7-4C3C-B84D-47238E19B97E}"/>
    <hyperlink ref="AE19" r:id="rId16" xr:uid="{A7240CDD-1DAC-454C-BE95-0DBBAC43C3D7}"/>
    <hyperlink ref="AE20" r:id="rId17" xr:uid="{37BB7367-910D-429C-9AB8-3CF6596CE519}"/>
    <hyperlink ref="Z17" r:id="rId18" xr:uid="{50089561-AB38-4714-AA11-1813BA4376B6}"/>
    <hyperlink ref="D5" r:id="rId19" xr:uid="{ADD56E0C-A772-4C6E-8BD6-2C5EEED64BCB}"/>
    <hyperlink ref="D7" r:id="rId20" xr:uid="{95BF38A8-D60E-4C23-81B1-4BF628872A33}"/>
    <hyperlink ref="D9" r:id="rId21" xr:uid="{99E05A4D-EAF4-49EC-B44E-6719B67A71BD}"/>
    <hyperlink ref="D11" r:id="rId22" xr:uid="{09961E14-E074-4EBA-9D95-5178BB47224F}"/>
    <hyperlink ref="D13" r:id="rId23" xr:uid="{2FEB122D-F1B6-4689-9287-B31152D5F92B}"/>
    <hyperlink ref="D15" r:id="rId24" xr:uid="{99507F7D-2B27-42BF-8323-6BFA674A0087}"/>
    <hyperlink ref="D17" r:id="rId25" xr:uid="{93D8CA8B-9C87-4167-B7C5-2AF21EB494D9}"/>
    <hyperlink ref="D19" r:id="rId26" xr:uid="{B1D9C3D4-63D5-4C82-AC80-1DEC745E29CF}"/>
    <hyperlink ref="D21" r:id="rId27" xr:uid="{B64931BB-4653-45CF-9000-673207B2E35B}"/>
    <hyperlink ref="D23" r:id="rId28" xr:uid="{5EB7F7B4-975B-41BC-8D3E-4EA5F0BD1E37}"/>
    <hyperlink ref="D25" r:id="rId29" xr:uid="{2D05C707-C5E9-454E-96C2-542DC30F3270}"/>
    <hyperlink ref="F4" r:id="rId30" xr:uid="{CA02941F-567B-4F3A-9273-829F8B62F81A}"/>
    <hyperlink ref="F5" r:id="rId31" xr:uid="{B52CEC19-5AE1-44C4-82F5-176BEC49E08E}"/>
    <hyperlink ref="F6" r:id="rId32" xr:uid="{4225392F-93D1-4769-A83E-82DE83F4E143}"/>
    <hyperlink ref="F7" r:id="rId33" xr:uid="{EFFDDFC5-D4C9-4A90-8CB8-733D93671124}"/>
    <hyperlink ref="F10" r:id="rId34" xr:uid="{F1755A74-DE06-45E9-AB0C-0A01971DFAA7}"/>
    <hyperlink ref="F11" r:id="rId35" xr:uid="{467A511D-35B4-4547-9763-26E9739113BA}"/>
    <hyperlink ref="F12" r:id="rId36" xr:uid="{BF2C6375-56F1-4564-A789-DAE3927EBA5A}"/>
    <hyperlink ref="F14" r:id="rId37" xr:uid="{3BE3C596-F4B8-474D-BFA7-A0E7E5EC757C}"/>
    <hyperlink ref="F18" r:id="rId38" xr:uid="{3BC91B1A-B6A4-46E4-80D6-F0BE10CCFDD5}"/>
    <hyperlink ref="F19" r:id="rId39" xr:uid="{61685370-023E-478E-B09C-1D04DCCA439F}"/>
    <hyperlink ref="F24" r:id="rId40" xr:uid="{D129262E-1893-4B3B-AEF6-53A6307245E9}"/>
    <hyperlink ref="F25" r:id="rId41" xr:uid="{CC581F83-0F14-4F3D-B919-D1160262781A}"/>
    <hyperlink ref="F23" r:id="rId42" xr:uid="{F30325C7-51FA-44D6-BF3A-FD8407577F87}"/>
    <hyperlink ref="F21" r:id="rId43" xr:uid="{956E24B6-68F8-4BF6-A231-7A9734B81AEB}"/>
    <hyperlink ref="F20" r:id="rId44" xr:uid="{743E29DC-3427-428B-B319-55737EF210AD}"/>
    <hyperlink ref="F22" r:id="rId45" xr:uid="{AEE4E8DD-0195-4126-9CED-23F3540A8B10}"/>
    <hyperlink ref="F15" r:id="rId46" xr:uid="{53D8C5C0-9347-4B85-AB8C-CBEC5A5AB900}"/>
    <hyperlink ref="D4" r:id="rId47" xr:uid="{63AB0900-DDE4-458F-8D3D-BE6D44C9B581}"/>
    <hyperlink ref="D6" r:id="rId48" xr:uid="{DCEE9D5B-1AC3-48BE-B658-37E31DD57729}"/>
    <hyperlink ref="D10" r:id="rId49" xr:uid="{FD8EDC59-1A74-4758-91E6-FF96F43736D0}"/>
    <hyperlink ref="D12" r:id="rId50" xr:uid="{CADC507F-385E-409D-A29B-9989F8D35332}"/>
    <hyperlink ref="D14" r:id="rId51" xr:uid="{F6A2EDAC-30B9-4553-99F0-00CFE9BE7832}"/>
    <hyperlink ref="D18" r:id="rId52" xr:uid="{388960FB-99DB-40CE-90F7-49375DC99EE6}"/>
    <hyperlink ref="D22" r:id="rId53" xr:uid="{B23B551B-8FCB-407C-9C04-182E04CAB07E}"/>
    <hyperlink ref="D20" r:id="rId54" xr:uid="{9710A2EF-E3C6-499C-B375-BC7B5DE4B583}"/>
    <hyperlink ref="D24" r:id="rId55" xr:uid="{96F0C9C9-CC37-4CFC-BE86-9C8FDBAAA822}"/>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A440F1-D15C-4BB0-B1E3-C5AD50D070CE}"/>
</file>

<file path=customXml/itemProps2.xml><?xml version="1.0" encoding="utf-8"?>
<ds:datastoreItem xmlns:ds="http://schemas.openxmlformats.org/officeDocument/2006/customXml" ds:itemID="{9E6D4AA8-BF2F-4588-8C85-C4D828770E6D}"/>
</file>

<file path=customXml/itemProps3.xml><?xml version="1.0" encoding="utf-8"?>
<ds:datastoreItem xmlns:ds="http://schemas.openxmlformats.org/officeDocument/2006/customXml" ds:itemID="{0DA1D88C-36E7-439F-A51D-DA70A7A142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Janjira Jankong</cp:lastModifiedBy>
  <cp:revision/>
  <dcterms:created xsi:type="dcterms:W3CDTF">2026-02-02T07:01:54Z</dcterms:created>
  <dcterms:modified xsi:type="dcterms:W3CDTF">2026-07-03T03:05:52Z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0x0101004860537B31A29749BF6C1BFDA4D9A5D4</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6554000</vt:r8>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