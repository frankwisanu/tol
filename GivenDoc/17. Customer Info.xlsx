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truecorp.sharepoint.com/sites/TrueCorp-TrueDtacTH-TotalAccessCommunicationPlc-TechM-Workingarea/Shared Documents/TCS-Project Hub/01. Project/2026/Project Docs/TPM240800011_260077_TOL New Journey (Sales Register) Phase1.1 ONE backlog/QA_Test Case &amp; Result/"/>
    </mc:Choice>
  </mc:AlternateContent>
  <xr:revisionPtr revIDLastSave="1296" documentId="11_4F0F500044A6C231D40BCF4F3B9DE881F433EEE2" xr6:coauthVersionLast="47" xr6:coauthVersionMax="47" xr10:uidLastSave="{44382705-DEEB-48FA-8265-B53C9AD12378}"/>
  <bookViews>
    <workbookView xWindow="-110" yWindow="-110" windowWidth="19420" windowHeight="11500" firstSheet="1" activeTab="1" xr2:uid="{00000000-000D-0000-FFFF-FFFF00000000}"/>
  </bookViews>
  <sheets>
    <sheet name="Scope Backlog 1.1" sheetId="2" r:id="rId1"/>
    <sheet name="Customer Info" sheetId="1" r:id="rId2"/>
  </sheets>
  <definedNames>
    <definedName name="Z_3FCA167B_C8DC_4F1C_A2FE_904FA182E115_.wvu.FilterData" localSheetId="1" hidden="1">'Customer Info'!$C$1:$AQ$36</definedName>
  </definedNames>
  <calcPr calcId="191028"/>
  <customWorkbookViews>
    <customWorkbookView name="ฟิวส์" guid="{3FCA167B-C8DC-4F1C-A2FE-904FA182E11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1" roundtripDataChecksum="GQ2ojFCeOoE/Ji1B36T0QwgY8OeDm/vbyg3rCshkFsE="/>
    </ext>
  </extLst>
</workbook>
</file>

<file path=xl/calcChain.xml><?xml version="1.0" encoding="utf-8"?>
<calcChain xmlns="http://schemas.openxmlformats.org/spreadsheetml/2006/main">
  <c r="AN39" i="1" l="1"/>
  <c r="AO44" i="1"/>
  <c r="AN44" i="1"/>
  <c r="AO43" i="1"/>
  <c r="AN43" i="1"/>
  <c r="AO42" i="1"/>
  <c r="AN42" i="1"/>
  <c r="AO41" i="1"/>
  <c r="AN41" i="1"/>
  <c r="AO40" i="1"/>
  <c r="AN40" i="1"/>
  <c r="AO39" i="1"/>
  <c r="AO47" i="1" l="1"/>
  <c r="AN47" i="1"/>
</calcChain>
</file>

<file path=xl/sharedStrings.xml><?xml version="1.0" encoding="utf-8"?>
<sst xmlns="http://schemas.openxmlformats.org/spreadsheetml/2006/main" count="693" uniqueCount="253">
  <si>
    <t>Epic Link</t>
  </si>
  <si>
    <t>Refer Backlog No.</t>
  </si>
  <si>
    <t>Funtion</t>
  </si>
  <si>
    <t>Test Result iOS</t>
  </si>
  <si>
    <t>Test Result Android</t>
  </si>
  <si>
    <t>Test Case No.</t>
  </si>
  <si>
    <t>Test Scenario</t>
  </si>
  <si>
    <t>Test Case Type</t>
  </si>
  <si>
    <t>Card Type</t>
  </si>
  <si>
    <t>"&lt;" back button</t>
  </si>
  <si>
    <t>"ถัดไป" button</t>
  </si>
  <si>
    <t>By OCR (Take Photo) - Scan QR CODE</t>
  </si>
  <si>
    <t>By Not Scan QR Code</t>
  </si>
  <si>
    <t>ข้อมูลลูกค้า</t>
  </si>
  <si>
    <t>ช่องทางรับใบแจ้งค่าบริการ</t>
  </si>
  <si>
    <t>ที่อยู่สำหรับส่งใบแจ้งค่าบริการ</t>
  </si>
  <si>
    <t>ข้อมูลติดต่อลูกค้า</t>
  </si>
  <si>
    <t>เลือกเวลาติดต่อ</t>
  </si>
  <si>
    <t>ภาษาใบแจ้งค่าบริการ</t>
  </si>
  <si>
    <t>ข้อมูลติดต่อผู้ทำรายการ</t>
  </si>
  <si>
    <t>Description
 (Design Step)</t>
  </si>
  <si>
    <t>Expected Result</t>
  </si>
  <si>
    <t>Test Case written by</t>
  </si>
  <si>
    <t>Excute by</t>
  </si>
  <si>
    <t>Status iOS</t>
  </si>
  <si>
    <t xml:space="preserve">Status android </t>
  </si>
  <si>
    <t>Actual Result
 (Design Step)</t>
  </si>
  <si>
    <t>Link Relate Story</t>
  </si>
  <si>
    <t>Link</t>
  </si>
  <si>
    <t>Details</t>
  </si>
  <si>
    <t>บัตรประชาชน</t>
  </si>
  <si>
    <t>หนังสือเดินทาง</t>
  </si>
  <si>
    <t>บัตรอื่นๆ</t>
  </si>
  <si>
    <t>บัตรต่างด้าว</t>
  </si>
  <si>
    <t>ใบอนุญาตทำงานแบบเล่ม</t>
  </si>
  <si>
    <t>บัตรอนุญาตทำงาน</t>
  </si>
  <si>
    <t>ใบขับขี่</t>
  </si>
  <si>
    <t>ชื่อ นามสกุล วันเดือนปีเกิด</t>
  </si>
  <si>
    <t>วันหมดอายุบัตร</t>
  </si>
  <si>
    <t>SMS</t>
  </si>
  <si>
    <t>อีเมล</t>
  </si>
  <si>
    <t>ที่อยู่ติดตั้ง</t>
  </si>
  <si>
    <t>ที่อยู่อื่น</t>
  </si>
  <si>
    <t>เบอร์ติดต่อหลัก</t>
  </si>
  <si>
    <t>เบอร์ติดต่อสำรอง</t>
  </si>
  <si>
    <t>ไม่ระบุเวลา</t>
  </si>
  <si>
    <t>ระบุเวลา</t>
  </si>
  <si>
    <t>ไทย</t>
  </si>
  <si>
    <t>EN</t>
  </si>
  <si>
    <t>เบอร์ติดต่อผู้ทำรายการ</t>
  </si>
  <si>
    <t>หมายเหตุ</t>
  </si>
  <si>
    <t>iOS</t>
  </si>
  <si>
    <t>Android</t>
  </si>
  <si>
    <t>Online channel 
THL-1089</t>
  </si>
  <si>
    <t>3.Register TOL/CVG via online channel</t>
  </si>
  <si>
    <t>Customer Info - Scan QR CODE</t>
  </si>
  <si>
    <t xml:space="preserve">"Version Built : TOL 73.3 (866)
</t>
  </si>
  <si>
    <t>"Version Built : 73.1.051116 (TOL-CICD) (308)
ตรวจสอบ Video นาทีที่ 0.56 - 1.03"</t>
  </si>
  <si>
    <t>ON_CUS_INFO_01</t>
  </si>
  <si>
    <t>Verify "&lt;" back button on Customer Info
  - Scan QR CODE</t>
  </si>
  <si>
    <t>Positive</t>
  </si>
  <si>
    <t>X</t>
  </si>
  <si>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Display Product Summary press "ถัดไป"
17. Verify "&lt;" back button on Customer Info</t>
  </si>
  <si>
    <t>1.Go back to Product Summary page</t>
  </si>
  <si>
    <t>Wannapa Thongkham</t>
  </si>
  <si>
    <t>Thanat Siritanyarat</t>
  </si>
  <si>
    <t>Passed</t>
  </si>
  <si>
    <t>Display product summary page when click 'Back'</t>
  </si>
  <si>
    <t>GIS: 33116841
ID: 7441323653329
Ordre ID: 20260526-O-0048200</t>
  </si>
  <si>
    <t>GIS: 231098902
ID: 7441323653329
Ordre ID: 20260519-O-0047898</t>
  </si>
  <si>
    <t>Online channel 
THL-1090</t>
  </si>
  <si>
    <t>"Version Built : 73.1.051116 (TOL-CICD) (308)
ตรวจสอบ Video นาทีที่ 0.01 - 0.56"</t>
  </si>
  <si>
    <t>ON_CUS_INFO_02</t>
  </si>
  <si>
    <r>
      <t xml:space="preserve">Verify Customer Info in this case:
  - Card Type : </t>
    </r>
    <r>
      <rPr>
        <b/>
        <sz val="10"/>
        <color rgb="FF000000"/>
        <rFont val="Tahoma"/>
        <family val="2"/>
      </rPr>
      <t>บัตรประชาชน</t>
    </r>
    <r>
      <rPr>
        <sz val="10"/>
        <color rgb="FF000000"/>
        <rFont val="Tahoma"/>
      </rPr>
      <t xml:space="preserve">
  - Scan QR CODE
  - Verify Customer Info all field
  - Press "ถัดไป"</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</si>
  <si>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Display Product Summary press "ถัดไป"
17. Verify Customer Info
  - ข้อมูลลูกค้า</t>
  </si>
  <si>
    <t>1.ดึงข้อมูลชื่อ นามสกุล วันเกิดให้ Auto และไม่สามารถแก้ไขได้
2.ช่องทางรับใบแจ้งค่าบริการ default SMS และสามารถเปลี่ยนเป็น Email ได้
3.เมื่อเลือก E-Mail ก่อนกด ถัดไป จะต้องกรอก E-Mail ด้วย
4.Display ที่อยู่สำหรับส่งใบแจ้งค่าบริการ
  - ที่อยู่ติดตั้ง เป็น default ดึงข้อมูลที่อยู่จาก GIS มาให้ Auto และไม่สามารถแก้ไขได้
  - ที่อยู่อื่น ดึงจาก ที่อยู่จากบัตรประชาชน
5. ที่อยู่อื่น 
  - กรณีที่ ตำบล/อำเภอ/จังหวัด ที่มีรหัสไปรษณีย์ = 1 จะ Auto รหัสไปรษณีย์ให้
  - กรณีที่ ตำบล/อำเภอ/จังหวัด ที่มีรหัสไปรษณีย์ &gt; 1 จะให้เลือกรหัสไปรษณีย์เอง
6.ข้อมูลเบอร์ติดต่อลูกค้า
  - เบอร์หลัก (ต้องระบุ)
  - เบอร์สำรอง (ไม่จำเป็นต้องระบุ)
7.เวลาติดต่อ Default ไม่ระบุเวลา
  - สามารถเลือกเวลา หรือไม่ระบุเวลาก็ได้
8.ภาษาใบแจ้งค่าบริการ : default ไทย
  - สามารถเลือกเปลี่ยนเป็นภาาา Eng ได้
9.เบอร์ติดต่อผู้ทำรายการดึงมาจากผู้เข้าใช้งานระบบ
10.หมายเหตุ จะระบุหรือไม่ระบุก็ได้
11.When press ถัดไป Continue to Installation and Appointment page</t>
  </si>
  <si>
    <t>Default field is correct
Disable field is correct 
Adress is correct
Mobile number main/sub is correct
can process to 'Instalation and Appointment' page</t>
  </si>
  <si>
    <t>Online channel 
THL-1091</t>
  </si>
  <si>
    <t>"Version Built : 73.1.051116 (TOL-CICD) (308)</t>
  </si>
  <si>
    <t>ON_CUS_INFO_03</t>
  </si>
  <si>
    <r>
      <t xml:space="preserve">Verify Customer Info in this case:
  - Card Type : </t>
    </r>
    <r>
      <rPr>
        <b/>
        <sz val="10"/>
        <color rgb="FF000000"/>
        <rFont val="Tahoma"/>
        <family val="2"/>
      </rPr>
      <t>หนังสือเดินทาง</t>
    </r>
    <r>
      <rPr>
        <sz val="10"/>
        <color rgb="FF000000"/>
        <rFont val="Tahoma"/>
      </rPr>
      <t xml:space="preserve">
  - Scan QR CODE
  - Verify Customer Info all field
  - Press "ถัดไป"</t>
    </r>
  </si>
  <si>
    <t>1.กรอกข้อมูลชื่อ นามสกุล วันเกิด วันหมดอายุบัตรเอง ไม่ Prefill ข้อมูลจากการกรอกบัตรที่ทำรายการให้
2.ช่องทางรับใบแจ้งค่าบริการ default SMS และสามารถเปลี่ยนเป็น Email ได้
3.เมื่อเลือก E-Mail ก่อนกด ถัดไป จะต้องกรอก E-Mail ด้วย
4.Display ที่อยู่สำหรับส่งใบแจ้งค่าบริการ
  - ที่อยู่ติดตั้ง เป็น default ดึงข้อมูลที่อยู่จาก GIS มาให้ Auto และไม่สามารถแก้ไขได้
  - ที่อยู่อื่น กรอกข้อมููลเอง ไม่ Prefill ที่อยู่ให้ 
5. ที่อยู่อื่น 
  - กรณีที่ ตำบล/อำเภอ/จังหวัด ที่มีรหัสไปรษณีย์ = 1 จะ Auto รหัสไปรษณีย์ให้
  - กรณีที่ ตำบล/อำเภอ/จังหวัด ที่มีรหัสไปรษณีย์ &gt; 1 จะให้เลือกรหัสไปรษณีย์เอง
6.ข้อมูลเบอร์ติดต่อลูกค้า
  - เบอร์หลัก (ต้องระบุ)
  - เบอร์สำรอง (ไม่จำเป็นต้องระบุ)
7.เวลาติดต่อ Default ไม่ระบุเวลา
  - สามารถเลือกเวลา หรือไม่ระบุเวลาก็ได้
8.ภาษาใบแจ้งค่าบริการ : default Eng
  - สามารถเลือกเปลี่ยนเป็นภาษา ไทย ได้
9.เบอร์ติดต่อผู้ทำรายการดึงมาจากผู้เข้าใช้งานระบบ
10.หมายเหตุ จะระบุหรือไม่ระบุก็ได้
11.When press ถัดไป Continue to Installation and Appointment page</t>
  </si>
  <si>
    <t>GIS: 33116841
Passport ID: PS100004
Ordre ID: 20260528-O-0048382</t>
  </si>
  <si>
    <t>GIS: 231099090
Passport: PS100004
Ordre ID: 20260519-O-0047904
Ordre ID: 20260519-O-0047906 [second attemp]
Retest 
GIS: 231098902
Passport: AC100002
Ordre ID: 20260525-O-0048142</t>
  </si>
  <si>
    <t>Online channel 
THL-1092</t>
  </si>
  <si>
    <t>ON_CUS_INFO_04</t>
  </si>
  <si>
    <r>
      <t xml:space="preserve">Verify Customer Info in this case:
  - Card Type : </t>
    </r>
    <r>
      <rPr>
        <b/>
        <sz val="10"/>
        <color rgb="FF000000"/>
        <rFont val="Tahoma"/>
        <family val="2"/>
      </rPr>
      <t>บัตรต่างด้าว</t>
    </r>
    <r>
      <rPr>
        <sz val="10"/>
        <color rgb="FF000000"/>
        <rFont val="Tahoma"/>
      </rPr>
      <t xml:space="preserve">
  - Scan QR CODE
  - ข้อมูลลูกค้า
  - Verify Customer Info all field
  - Press "ถัดไป"</t>
    </r>
  </si>
  <si>
    <t>GIS: 231098990
Foreigner ID: 0072011129851
Ordre ID: 20260528-O-0048388</t>
  </si>
  <si>
    <t>GIS: 231099090
Foreigner ID: 0072011129851
Ordre ID: 20260519-O-0047905</t>
  </si>
  <si>
    <t>Online channel 
THL-1093</t>
  </si>
  <si>
    <t>ON_CUS_INFO_05</t>
  </si>
  <si>
    <r>
      <t xml:space="preserve">Verify Customer Info in this case:
  - Card Type : </t>
    </r>
    <r>
      <rPr>
        <b/>
        <sz val="10"/>
        <color rgb="FF000000"/>
        <rFont val="Tahoma"/>
        <family val="2"/>
      </rPr>
      <t>ใบอนุญาตทำงานแบบเล่ม</t>
    </r>
    <r>
      <rPr>
        <sz val="10"/>
        <color rgb="FF000000"/>
        <rFont val="Tahoma"/>
      </rPr>
      <t xml:space="preserve">
  - Scan QR CODE
  - ข้อมูลลูกค้า
  - Verify Customer Info all field
  - Press "ถัดไป"</t>
    </r>
  </si>
  <si>
    <t>Skip</t>
  </si>
  <si>
    <t>PO Confirm Skip Test ใบอนุญาตทำงานแบบเล่ม และใบอนุญาตทำงาน</t>
  </si>
  <si>
    <t>Online channel 
THL-1094</t>
  </si>
  <si>
    <t>ON_CUS_INFO_06</t>
  </si>
  <si>
    <t>Verify Customer Info in this case:
  - Card Type : บัตรอนุญาตทำงาน
  - Scan QR CODE
  - ข้อมูลลูกค้า
  - Verify Customer Info all field
  - Press "ถัดไป"</t>
  </si>
  <si>
    <t>Online channel 
THL-1095</t>
  </si>
  <si>
    <t>Version Built : 73.3.052203 (TOL-CICD) (312)</t>
  </si>
  <si>
    <t>ON_CUS_INFO_07</t>
  </si>
  <si>
    <t>Verify Customer Info in this case:
  - Card Type : บัตรอื่นๆ
  - Scan QR CODE
  - ข้อมูลลูกค้า
  - Verify Customer Info all field
  - Press "ถัดไป"</t>
  </si>
  <si>
    <t>1.กรอกข้อมูลชื่อ นามสกุล วันเกิด วันหมดอายุบัตรเอง ไม่ Prefill ข้อมูลจากการกรอกบัตรที่ทำรายการให้
2.ช่องทางรับใบแจ้งค่าบริการ default SMS และสามารถเปลี่ยนเป็น Email ได้
3.เมื่อเลือก E-Mail ก่อนกด ถัดไป จะต้องกรอก E-Mail ด้วย
4.Display ที่อยู่สำหรับส่งใบแจ้งค่าบริการ
  - ที่อยู่ติดตั้ง เป็น default ดึงข้อมูลที่อยู่จาก GIS มาให้ Auto และไม่สามารถแก้ไขได้
  - ที่อยู่อื่น กรอกข้อมููลเอง ไม่ Prefill ที่อยู่ให้ 
5. ที่อยู่อื่น 
  - กรณีที่ ตำบล/อำเภอ/จังหวัด ที่มีรหัสไปรษณีย์ = 1 จะ Auto รหัสไปรษณีย์ให้
  - กรณีที่ ตำบล/อำเภอ/จังหวัด ที่มีรหัสไปรษณีย์ &gt; 1 จะให้เลือกรหัสไปรษณีย์เอง
6.ข้อมูลเบอร์ติดต่อลูกค้า
  - เบอร์หลัก (ต้องระบุ)
  - เบอร์สำรอง (ไม่จำเป็นต้องระบุ)
7.เวลาติดต่อ Default ไม่ระบุเวลา
  - สามารถเลือกเวลา หรือไม่ระบุเวลาก็ได้
8.ภาษาใบแจ้งค่าบริการ : default ไทย
  - สามารถเลือกเปลี่ยนเป็นภาษา Eng ได้
9.เบอร์ติดต่อผู้ทำรายการดึงมาจากผู้เข้าใช้งานระบบ
10.หมายเหตุ จะระบุหรือไม่ระบุก็ได้
11.When press ถัดไป Continue to Installation and Appointment page</t>
  </si>
  <si>
    <t xml:space="preserve">ภาษาใบแจ้งค่าบริการ : default ไทย
  - สามารถเลือกเปลี่ยนเป็นภาษา Eng ได้
ตอนนี้ default ขึ้นเป็นภาษา EN
รอคอนเฟริ์มจาก PO </t>
  </si>
  <si>
    <t>GIS: 231114539
ID: 65110052
Ordre ID: 20260528-O-0048393</t>
  </si>
  <si>
    <t>GIS: 33116841
ID: 65110052
Ordre ID: 20260527-O-0048291</t>
  </si>
  <si>
    <t>Online channel 
THL-1112</t>
  </si>
  <si>
    <t>Customer Info - Not Scan QR Code</t>
  </si>
  <si>
    <t>"Version Built : 73.1.051116 (TOL-CICD) (308)
ตรวจสอบ Video นาทีที่ 0:00 - 0:30</t>
  </si>
  <si>
    <t>ON_CUS_INFO_08</t>
  </si>
  <si>
    <t>Verify "&lt;" back button on Customer Info
  - Not Scan QR Code</t>
  </si>
  <si>
    <t>1. Login One App
2. Press "ลงทะเบียนทรูออนไลน์" menu in the "บริการอื่นๆ" Category
3. Open GIS Web View and open oder on GIS Web View success
4. Navigate to Select type screen 
     - Slect Service Type 1P/3P
5. Navigate to Customer ID Validation screen
     - Select card and Input Customer ID Same Location
6. Pass TOL Validation (NEW TOL)
7. Navigate to Customer Self-Verification QR / Ref Code : STAFF SCREEN
8. STAFF press สมัครบริการโดยไม่ใช้  QR Code
9. Select Privilege
10. Select Package
11. Select TOL Entry Fee
12. Display Product Summary press "ถัดไป"
13. Verify "&lt;" back button on Customer Info</t>
  </si>
  <si>
    <t>GIS: 231115022
ID: 7441323653329
Ordre ID: 20260528-O-0048400</t>
  </si>
  <si>
    <t>GIS: 231114539
ID: 7441323653329
Ordre ID: 20260521-O-0047970</t>
  </si>
  <si>
    <t>"Version Built : 73.1.051116 (TOL-CICD) (308)
ตรวจสอบ Video นาทีที่ 0:30 - 1:29</t>
  </si>
  <si>
    <t>ON_CUS_INFO_09</t>
  </si>
  <si>
    <t>Verify Customer Info Not Scan QR Code in this case:
  - Verify Customer Info all field
  - Press "ถัดไป"</t>
  </si>
  <si>
    <t>1. Login One App
2. Press "ลงทะเบียนทรูออนไลน์" menu in the "บริการอื่นๆ" Category
3. Open GIS Web View and open oder on GIS Web View success
4. Navigate to Select type screen 
     - Slect Service Type 1P/3P
5. Navigate to Customer ID Validation screen
     - Select card and Input Customer ID Same Location
6. Pass TOL Validation (NEW TOL)
7. Navigate to Customer Self-Verification QR / Ref Code : STAFF SCREEN
8. STAFF press สมัครบริการโดยไม่ใช้  QR Code
9. Select Privilege
10. Select Package
11. Select TOL Entry Fee
12. Display Product Summary press "ถัดไป"
13. Verify Customer Info</t>
  </si>
  <si>
    <t>1.กรอกข้อมูลชื่อ นามสกุล วันเกิด วันหมดอายุบัตรเอง ไม่ Prefill ข้อมูลจากการกรอกบัตรที่ทำรายการให้
2.ช่องทางรับใบแจ้งค่าบริการ default SMS และสามารถเปลี่ยนเป็น Email ได้
3.เมื่อเลือก E-Mail ก่อนกด ถัดไป จะต้องกรอก E-Mail ด้วย
4.Display ที่อยู่สำหรับส่งใบแจ้งค่าบริการ
  - ที่อยู่ติดตั้ง เป็น default ดึงข้อมูลที่อยู่จาก GIS มาให้ Auto และไม่สามารถแก้ไขได้
  - ที่อยู่อื่น กรอกข้อมููลเอง ไม่ Prefill ที่อยู่ให้ 
5. ที่อยู่อื่น 
  - กรณีที่ ตำบล/อำเภอ/จังหวัด ที่มีรหัสไปรษณีย์ = 1 จะ Auto รหัสไปรษณีย์ให้
  - กรณีที่ ตำบล/อำเภอ/จังหวัด ที่มีรหัสไปรษณีย์ &gt; 1 จะให้เลือกรหัสไปรษณีย์เอง
6.ข้อมูลเบอร์ติดต่อลูกค้า
  - เบอร์หลัก (ต้องระบุ)
  - เบอร์สำรอง (ไม่จำเป็นต้องระบุ)
7.เวลาติดต่อ Default ไม่ระบุเวลา
  - สามารถเลือกเวลา หรือไม่ระบุเวลาก็ได้
8.ภาษาใบแจ้งค่าบริการ : default ไทย
  - สามารถเลือกเปลี่ยนเป็นภาาา Eng ได้
9.เบอร์ติดต่อผู้ทำรายการดึงมาจากผู้เข้าใช้งานระบบ
10.หมายเหตุ จะระบุหรือไม่ระบุก็ได้
11.When press ถัดไป Continue to Installation and Appointment page</t>
  </si>
  <si>
    <t xml:space="preserve">ios found defect 23 - [TOL1.1Backlog][iOS] [CustomerInfo] error messgae ของวันหมดอายุแสดงผิด </t>
  </si>
  <si>
    <t>GIS: 231114539
ID: 7441323653329
Ordre ID: 20260528-O-0048405</t>
  </si>
  <si>
    <t>Customer Info</t>
  </si>
  <si>
    <t>"Version Built : TOL 73.3 (866)
ตรวจสอบ Video นาทีที่ 0:00 - 0:08</t>
  </si>
  <si>
    <t>"Version Built : 73.1.051116 (TOL-CICD) (308)
ตรวจสอบ Video นาทีที่ 0:00 - 0:07</t>
  </si>
  <si>
    <t>ON_CUS_INFO_10</t>
  </si>
  <si>
    <t>Verify Customer Info in this case:
  - ที่อยู่อื่น
  - Input บ้านเลขที่ &lt;= 15 ตัวอักษร</t>
  </si>
  <si>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ที่อยู่อื่น
    - Input บ้านเลขที่ &lt;= 15 ตัวอักษร</t>
  </si>
  <si>
    <t>1.Able to input บ้านเลขที่ &lt;= 15 ตัวอักษร</t>
  </si>
  <si>
    <t>"Version Built : TOL 73.3 (866)
ตรวจสอบ Video นาทีที่ 0:09 - 0:21</t>
  </si>
  <si>
    <t>"Version Built : 73.1.051116 (TOL-CICD) (308)
ตรวจสอบ Video นาทีที่ 0:07 - 0:15</t>
  </si>
  <si>
    <t>ON_CUS_INFO_11</t>
  </si>
  <si>
    <t>Verify Customer Info in this case:
 - ที่อยู่อื่น
 - Input บ้านเลขที่ &gt; 15 ตัวอักษร
 - ไม่กรอกบ้านเลขที่</t>
  </si>
  <si>
    <t>Negative</t>
  </si>
  <si>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ที่อยู่อื่น
    - Input บ้านเลขที่ &gt; 15 ตัวอักษร</t>
  </si>
  <si>
    <t>1.Not input บ้านเลขที่ &gt; 15 ตัวอักษร
2.In case ไม่กรอกบ้านเลขที่ Error popup "กรุณากรอกบ้านเลขที่ค่ะ"
 - ตกลง -&gt; closed pop up msg and stay with page</t>
  </si>
  <si>
    <t>"Version Built : TOL 73.3 (866)
ตรวจสอบ Video นาทีที่ 0:00 - 0:20</t>
  </si>
  <si>
    <t>"Version Built : 73.1.051116 (TOL-CICD) (308)
ตรวจสอบ Video นาทีที่ 0:15 - 0:24</t>
  </si>
  <si>
    <t>ON_CUS_INFO_12</t>
  </si>
  <si>
    <t>Verify Customer Info in this case:
 - ที่อยู่อื่น
 - Input ชื่อหมู่บ้าน/คอนโด ซอย ถนน &lt;= 100 ตัวอักษร</t>
  </si>
  <si>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ที่อยู่อื่น
    - Input ชื่อหมู่บ้าน/คอนโด ซอย ถนน &lt;= 100 ตัวอักษร</t>
  </si>
  <si>
    <t>1.Able to input ชื่อหมู่บ้าน/คอนโด ซอย ถนน &lt;= 100 ตัวอักษร</t>
  </si>
  <si>
    <t>"Version Built : TOL 73.3 (866)
ตรวจสอบ Video นาทีที่ 0:21 - 1:07</t>
  </si>
  <si>
    <t>"Version Built : 73.1.051116 (TOL-CICD) (308)
ตรวจสอบ Video นาทีที่ 0:24 - 0:34</t>
  </si>
  <si>
    <t>ON_CUS_INFO_13</t>
  </si>
  <si>
    <r>
      <rPr>
        <sz val="10"/>
        <color rgb="FF000000"/>
        <rFont val="Tahoma"/>
      </rPr>
      <t xml:space="preserve">Verify Customer Info in this case:
 - ที่อยู่อื่น
 - Input ชื่อหมู่บ้าน/คอนโด ซอย ถนน &gt; 100 ตัวอักษร
 - </t>
    </r>
    <r>
      <rPr>
        <sz val="10"/>
        <color rgb="FFFF0000"/>
        <rFont val="Tahoma"/>
      </rPr>
      <t>ไม่กรอก</t>
    </r>
    <r>
      <rPr>
        <sz val="10"/>
        <color rgb="FF000000"/>
        <rFont val="Tahoma"/>
      </rPr>
      <t>ชื่อหมู่บ้าน/คอนโด ซอย ถนน</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</si>
  <si>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ที่อยู่อื่น
    - Input ชื่อหมู่บ้าน/คอนโด ซอย ถนน &gt; 100 ตัวอักษร</t>
  </si>
  <si>
    <t>1.Not input ชื่อหมู่บ้าน/คอนโด ซอย ถนน &gt; 100 ตัวอักษร
2.Error popup "กรุณากรอก ชื่อหมู่บ้าน/คอนโด ซอย ถนน ค่ะ"
 - ตกลง  -&gt; closed pop up msg and stay with page</t>
  </si>
  <si>
    <t>"Version Built : 73.1.051116 (TOL-CICD) (308)
ตรวจสอบ Video นาทีที่ 0:00 - 0:28</t>
  </si>
  <si>
    <t>ON_CUS_INFO_14</t>
  </si>
  <si>
    <r>
      <rPr>
        <sz val="10"/>
        <color rgb="FF000000"/>
        <rFont val="Tahoma"/>
      </rPr>
      <t xml:space="preserve">Verify Customer Info in this case:
 - ที่อยู่อื่น
 - </t>
    </r>
    <r>
      <rPr>
        <sz val="10"/>
        <color rgb="FFFF0000"/>
        <rFont val="Tahoma"/>
      </rPr>
      <t>ไม่</t>
    </r>
    <r>
      <rPr>
        <sz val="10"/>
        <color rgb="FF000000"/>
        <rFont val="Tahoma"/>
      </rPr>
      <t>เลือกจังหวัด</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</si>
  <si>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ที่อยู่อื่น
    - ไม่เลือกจังหวัด
15. Press "ถัดไป"</t>
  </si>
  <si>
    <t>1.Error popup "กรุณาเลือกจังหวัดค่ะ"
 - ตกลง</t>
  </si>
  <si>
    <t>GIS: 231115890
ID: 65110052
Ordre ID: 20260521-O-0047996</t>
  </si>
  <si>
    <t>"Version Built : 73.1.051116 (TOL-CICD) (308)
ตรวจสอบ Video นาทีที่ 0:39 - 0:47</t>
  </si>
  <si>
    <t>ON_CUS_INFO_15</t>
  </si>
  <si>
    <r>
      <rPr>
        <sz val="10"/>
        <color theme="1"/>
        <rFont val="Tahoma"/>
        <family val="2"/>
      </rPr>
      <t xml:space="preserve">Verify Customer Info in this case:
 - ที่อยู่อื่น
 - </t>
    </r>
    <r>
      <rPr>
        <sz val="10"/>
        <color rgb="FFFF0000"/>
        <rFont val="Tahoma"/>
        <family val="2"/>
      </rPr>
      <t>ไม่</t>
    </r>
    <r>
      <rPr>
        <sz val="10"/>
        <color theme="1"/>
        <rFont val="Tahoma"/>
        <family val="2"/>
      </rPr>
      <t xml:space="preserve">เลือก แขวง/ตำบล
</t>
    </r>
    <r>
      <rPr>
        <sz val="10"/>
        <color theme="4"/>
        <rFont val="Tahoma"/>
        <family val="2"/>
      </rPr>
      <t>**ตอนเทสจะไม่เจอเคสนี้ เพราะเลือกจังหวัดแล้วออโต้ให้เลือกตำบล/อำเภอ/รหัสไปรษณีย์ ต่อได้เลย</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</si>
  <si>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ที่อยู่อื่น
    - ไม่เลือก แขวง/ตำบล
15. Press "ถัดไป"</t>
  </si>
  <si>
    <t>1.Error popup "กรุณาเลือก แขวง/ตำบล ค่ะ"
 - ตกลง</t>
  </si>
  <si>
    <t>"Version Built : 73.1.051116 (TOL-CICD) (308)
ตรวจสอบ Video นาทีที่ 0:28 - 0:38</t>
  </si>
  <si>
    <t>ON_CUS_INFO_16</t>
  </si>
  <si>
    <r>
      <t xml:space="preserve">Verify Customer Info in this case:
 - ที่อยู่อื่น
 - </t>
    </r>
    <r>
      <rPr>
        <sz val="10"/>
        <color rgb="FFFF0000"/>
        <rFont val="Tahoma"/>
      </rPr>
      <t>ไม่</t>
    </r>
    <r>
      <rPr>
        <sz val="10"/>
        <color theme="1"/>
        <rFont val="Tahoma"/>
      </rPr>
      <t xml:space="preserve">เลือก เขต/อำเภอ
</t>
    </r>
    <r>
      <rPr>
        <sz val="10"/>
        <color theme="4"/>
        <rFont val="Tahoma"/>
      </rPr>
      <t>**ตอนเทสจะไม่เจอเคสนี้ เพราะเลือกจังหวัดแล้วออโต้ให้เลือกตำบล/อำเภอ/รหัสไปรษณีย์ ต่อได้เลย</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</si>
  <si>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ที่อยู่อื่น
    - ไม่เลือก เขต/อำเภอ
15. Press "ถัดไป"</t>
  </si>
  <si>
    <t>1.Error popup "กรุณาเลือก เขต/อำเภอ ค่ะ"
 - ตกลง</t>
  </si>
  <si>
    <t>"Version Built : 73.3.052203 (TOL-CICD) (312)</t>
  </si>
  <si>
    <t>ON_CUS_INFO_17</t>
  </si>
  <si>
    <r>
      <t xml:space="preserve">Verify Customer Info in this case:
 - ที่อยู่อื่น
 - </t>
    </r>
    <r>
      <rPr>
        <sz val="10"/>
        <color rgb="FFFF0000"/>
        <rFont val="Tahoma"/>
      </rPr>
      <t>ไม่</t>
    </r>
    <r>
      <rPr>
        <sz val="10"/>
        <color theme="1"/>
        <rFont val="Tahoma"/>
      </rPr>
      <t xml:space="preserve">เลือกรหัสไปรษณีย์
</t>
    </r>
    <r>
      <rPr>
        <sz val="10"/>
        <color theme="4"/>
        <rFont val="Tahoma"/>
      </rPr>
      <t>**ตอนเทสจะไม่เจอเคสนี้ เพราะเลือกจังหวัดแล้วออโต้ให้เลือกตำบล/อำเภอ/รหัสไปรษณีย์ ต่อได้เลย</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</si>
  <si>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ที่อยู่อื่น
    - ไม่เลือกรหัสไปรษณีย์
15. Press "ถัดไป"</t>
  </si>
  <si>
    <t>1.Error popup "กรุณาเลือกรหัสไปรษณีย์ค่ะ"
 - ตกลง</t>
  </si>
  <si>
    <t>"Version Built : TOL 73.3 (866)
ตรวจสอบ Video นาทีที่ 0:00 - 0:14</t>
  </si>
  <si>
    <t xml:space="preserve">"Version Built : 73.1.051116 (TOL-CICD) (308) </t>
  </si>
  <si>
    <t>ON_CUS_INFO_18</t>
  </si>
  <si>
    <r>
      <rPr>
        <sz val="10"/>
        <color rgb="FF000000"/>
        <rFont val="Tahoma"/>
      </rPr>
      <t>Verify Customer Info in this case:
 - Input เบอร์ติดต่อหลัก</t>
    </r>
    <r>
      <rPr>
        <sz val="10"/>
        <color rgb="FFFF0000"/>
        <rFont val="Tahoma"/>
      </rPr>
      <t xml:space="preserve">ไม่ครบ 10 หลัก
 </t>
    </r>
    <r>
      <rPr>
        <sz val="10"/>
        <color rgb="FF000000"/>
        <rFont val="Tahoma"/>
      </rPr>
      <t xml:space="preserve">- </t>
    </r>
    <r>
      <rPr>
        <sz val="10"/>
        <color rgb="FFFF0000"/>
        <rFont val="Tahoma"/>
      </rPr>
      <t>ไม่</t>
    </r>
    <r>
      <rPr>
        <sz val="10"/>
        <color rgb="FF000000"/>
        <rFont val="Tahoma"/>
      </rPr>
      <t>กรอกเบอร์ติดต่อหลัก</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</si>
  <si>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กรอกเบอร์ติดต่อหลักไม่ครบ 10 หลัก
15. Press "ถัดไป"</t>
  </si>
  <si>
    <t>1.In case กรอกเบอร์ติดต่อหลักไม่ครบ 10 หลัก Error popup "กรุณากรอกเบอร์ติดต่อหลักให้ครบ 10 หลัก"
 - ตกลง
2.In case ไม่กรอกเบอร์ติดต่อหลัก Error popup "กรุณากรอกเบอร์ติดต่อหลักค่ะ"
 - ตกลง</t>
  </si>
  <si>
    <t>"Version Built : TOL 73.3 (866)
ตรวจสอบ Video นาทีที่ 0:15 - 0:40</t>
  </si>
  <si>
    <t>"Version Built : 73.1.051116 (TOL-CICD) (308)
ตรวจสอบ Video นาทีที่ 0:00 - 0:20</t>
  </si>
  <si>
    <t>ON_CUS_INFO_19</t>
  </si>
  <si>
    <r>
      <rPr>
        <sz val="10"/>
        <color rgb="FF000000"/>
        <rFont val="Tahoma"/>
      </rPr>
      <t xml:space="preserve">Verify Customer Info in this case:
 - Input เบอร์ติดต่อสำรองที่1 </t>
    </r>
    <r>
      <rPr>
        <sz val="10"/>
        <color rgb="FFFF0000"/>
        <rFont val="Tahoma"/>
      </rPr>
      <t xml:space="preserve">ไม่ครบ 10 หลัก
 </t>
    </r>
    <r>
      <rPr>
        <sz val="10"/>
        <color rgb="FF000000"/>
        <rFont val="Tahoma"/>
      </rPr>
      <t xml:space="preserve">- Input เบอร์ติดต่อสำรองที่2 </t>
    </r>
    <r>
      <rPr>
        <sz val="10"/>
        <color rgb="FFFF0000"/>
        <rFont val="Tahoma"/>
      </rPr>
      <t>ไม่ครบ 10 หลัก</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</si>
  <si>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Input เบอร์ติดต่อสำรองที่1 ไม่ครบ 10 หลัก
15. Press "ถัดไป"</t>
  </si>
  <si>
    <t>1.Error popup "กรุณากรอกเบอร์ติดต่อสำรองที่1 ให้ครบ 10 หลัก"
 - ตกลง
2.Error popup "กรุณากรอกเบอร์ติดต่อสำรองที่2 ให้ครบ 10 หลัก"
 - ตกลง</t>
  </si>
  <si>
    <t>"Version Built : TOL 73.3 (866)
ตรวจสอบ Video นาทีที่ 0:00 - 0:25</t>
  </si>
  <si>
    <t>"Version Built : 73.1.051116 (TOL-CICD) (308)
ตรวจสอบ Video นาทีที่ 0:21 - 0:48</t>
  </si>
  <si>
    <t>ON_CUS_INFO_20</t>
  </si>
  <si>
    <t>Verify Customer Info in this case:
 - ไม่กรอกเบอร์ติดต่อสำรอง
 - Input เบอร์ติดต่อสำรอง 1 เบอร์ (ไม่กรอกเบอร์ที่2)
 - Input เบอร์ติดต่อสำรอง 2 เบอร์ (กรอกทั้ง 2เบอร์)</t>
  </si>
  <si>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ไม่กรอกเบอร์ติดต่อสำรอง
15. Press "ถัดไป"</t>
  </si>
  <si>
    <t>1.Able to press "ถัดไป"
2.Continue to Installation and Appointment page</t>
  </si>
  <si>
    <t>"Version Built : TOL 73.3 (866)
ตรวจสอบ Video นาทีที่ 0:25 - 0:46</t>
  </si>
  <si>
    <t>"Version Built : 73.1.051116 (TOL-CICD) (308)
ตรวจสอบ Video นาทีที่ ""</t>
  </si>
  <si>
    <t>ON_CUS_INFO_21</t>
  </si>
  <si>
    <r>
      <rPr>
        <sz val="10"/>
        <color theme="1"/>
        <rFont val="Tahoma"/>
      </rPr>
      <t xml:space="preserve">Verify Customer Info in this case:
 - </t>
    </r>
    <r>
      <rPr>
        <sz val="10"/>
        <color rgb="FFFF0000"/>
        <rFont val="Tahoma"/>
      </rPr>
      <t>ไม่</t>
    </r>
    <r>
      <rPr>
        <sz val="10"/>
        <color theme="1"/>
        <rFont val="Tahoma"/>
      </rPr>
      <t>กรอกเบอร์ติดต่อหลัก
 - กรอกเบอร์ติดต่อสำรอง</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</si>
  <si>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ไม่กรอกเบอร์ติดต่อหลัก
      - กรอกเบอร์ติดต่อสำรอง
15. Press "ถัดไป"</t>
  </si>
  <si>
    <t>1.Error popup "กรุณากรอกเบอร์ติดต่อหลักค่ะ"
 - ตกลง</t>
  </si>
  <si>
    <t xml:space="preserve"> </t>
  </si>
  <si>
    <t>"Version Built :73.8.052804 (TOL-CICD)(312)</t>
  </si>
  <si>
    <t>ON_CUS_INFO_22</t>
  </si>
  <si>
    <t>Verify Customer Info in this case:
 - เบอร์ติดต่อหลักกับเบอร์สำรอง1 เป็นเบอร์เดียวกัน
 - เบอร์ติดต่อหลักกับเบอร์สำรอง1 และเบอร์สำรอง2 เป็นเบอร์เดียวกัน</t>
  </si>
  <si>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เบอร์ติดต่อหลักกับเบอร์สำรองเป็นเบอร์เดียวกัน
15. Press "ถัดไป"</t>
  </si>
  <si>
    <r>
      <rPr>
        <strike/>
        <sz val="10"/>
        <color rgb="FF000000"/>
        <rFont val="Tahoma"/>
        <family val="2"/>
      </rPr>
      <t>1.Error popup "เบอร์ติดต่อ, เบอร์สำรอง เบอร์ติดต่อหลักผู้ทำรายการและเบอร์ติดต่อสำรองของผู้ทำรายการต้องไม่ซ้ำกัน กรุณาตรวจสอบและกรอกใหม่อีกครั้งค่ะ"</t>
    </r>
    <r>
      <rPr>
        <sz val="10"/>
        <color rgb="FF000000"/>
        <rFont val="Tahoma"/>
        <family val="2"/>
      </rPr>
      <t xml:space="preserve">
1.Able to press "ถัดไป"
2.Continue to Installation and Appointment page</t>
    </r>
  </si>
  <si>
    <t>Wannapa Thongkham
25 May: Update by Thanat Siritanyarat</t>
  </si>
  <si>
    <t>Fail: display error message when input duplicate number on 3 fields [Defect 19]</t>
  </si>
  <si>
    <t>"Version Built : 73.1.051116 (TOL-CICD) (308)
ตรวจสอบ Video นาทีที่ 0:00 - 0:16</t>
  </si>
  <si>
    <t>ON_CUS_INFO_23</t>
  </si>
  <si>
    <t>Verify Customer Info in this case:
 - กรอกอีเมล &lt;= 40 ตัวอักษร</t>
  </si>
  <si>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Infoo
      - กรอกอีเมล &lt;= 40 ตัวอักษร
15. Press "ถัดไป"</t>
  </si>
  <si>
    <t>1.Able to input อีเมล &lt;= 40 ตัวอักษร</t>
  </si>
  <si>
    <t>"Version Built : TOL 73.3 (866)
+E23
ตรวจสอบ Video นาทีที่ 0:21 - 1:24</t>
  </si>
  <si>
    <t>"Version Built : 73.1.051116 (TOL-CICD) (308)
ตรวจสอบ Video นาทีที่ 0:16 - 0:52</t>
  </si>
  <si>
    <t>ON_CUS_INFO_24</t>
  </si>
  <si>
    <r>
      <rPr>
        <sz val="10"/>
        <color rgb="FF000000"/>
        <rFont val="Tahoma"/>
      </rPr>
      <t>Verify Customer Info in this case:
 - กรอกอีเมล &gt; 40 ตัวอักษร
 - กรอกอีเมล</t>
    </r>
    <r>
      <rPr>
        <sz val="10"/>
        <color rgb="FFFF0000"/>
        <rFont val="Tahoma"/>
      </rPr>
      <t>ผิด format</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</si>
  <si>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กรอกอีเมล &gt; 40 ตัวอักษร
15. Press "ถัดไป"</t>
  </si>
  <si>
    <t>1.Not input อีเมล &gt; 40 ตัวอักษร
2.In case กรอกอีเมลผิด format Error popup "อีเมลของท่านไม่ถูกต้อง กรุณาตรวจสอบและกรอกใหม่อีกครั้งค่ะ"
 - ตกลง</t>
  </si>
  <si>
    <t>"Version Built : TOL 73.3 (866)
ตรวจสอบ Video นาทีที่ 0:00 - 0:31</t>
  </si>
  <si>
    <t>"Version Built : 73.1.051116 (TOL-CICD) (308)
ตรวจสอบ Video นาทีที่ 0:00 - 0:34</t>
  </si>
  <si>
    <t>ON_CUS_INFO_25</t>
  </si>
  <si>
    <r>
      <rPr>
        <sz val="10"/>
        <color rgb="FF000000"/>
        <rFont val="Tahoma"/>
      </rPr>
      <t xml:space="preserve">Verify Customer Info in this case:
 - ช่องทางใบรับแจ้งค่าบริการ : SMS </t>
    </r>
    <r>
      <rPr>
        <sz val="10"/>
        <color rgb="FFFF0000"/>
        <rFont val="Tahoma"/>
      </rPr>
      <t>ไม่</t>
    </r>
    <r>
      <rPr>
        <sz val="10"/>
        <color rgb="FF000000"/>
        <rFont val="Tahoma"/>
      </rPr>
      <t>กรอกอีเมล
 - ช่องทางใบรับแจ้งค่าบริการ : อีเมล กรอกอีเมล</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</si>
  <si>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ช่องทางใบรับแจ้งค่าบริการ : SMS
     - ไม่กรอกอีเมล
15. Press "ถัดไป"</t>
  </si>
  <si>
    <t>"Version Built : TOL 73.3 (866)
ตรวจสอบ Video นาทีที่ 0:32 - 0:45</t>
  </si>
  <si>
    <t>"Version Built : 73.1.051116 (TOL-CICD) (308)
ตรวจสอบ Video นาทีที่ 0:44 - 0:47</t>
  </si>
  <si>
    <t>ON_CUS_INFO_26</t>
  </si>
  <si>
    <r>
      <rPr>
        <sz val="10"/>
        <color theme="1"/>
        <rFont val="Tahoma"/>
      </rPr>
      <t xml:space="preserve">Verify Customer Info in this case:
 - ช่องทางใบรับแจ้งค่าบริการ : อีเมล
 - </t>
    </r>
    <r>
      <rPr>
        <sz val="10"/>
        <color rgb="FFFF0000"/>
        <rFont val="Tahoma"/>
      </rPr>
      <t>ไม่</t>
    </r>
    <r>
      <rPr>
        <sz val="10"/>
        <color theme="1"/>
        <rFont val="Tahoma"/>
      </rPr>
      <t>กรอกอีเมล</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</si>
  <si>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ช่องทางใบรับแจ้งค่าบริการ : อีเมล
      - ไม่กรอกอีเมล
15. Press "ถัดไป"</t>
  </si>
  <si>
    <t>1.Error popup "กรุณากรอกอีเมลค่ะ"
 - ตกลง</t>
  </si>
  <si>
    <t>"Version Built : TOL 73.3 (866)
ตรวจสอบ Video นาทีที่ 0:46 - 0:58</t>
  </si>
  <si>
    <t>"Version Built : 73.1.051116 (TOL-CICD) (308)
ตรวจสอบ Video นาทีที่ 0:34 - 0:44</t>
  </si>
  <si>
    <t>ON_CUS_INFO_27</t>
  </si>
  <si>
    <r>
      <rPr>
        <sz val="10"/>
        <color theme="1"/>
        <rFont val="Tahoma"/>
      </rPr>
      <t xml:space="preserve">Verify Customer Info in this case:
 - </t>
    </r>
    <r>
      <rPr>
        <sz val="10"/>
        <color rgb="FFFF0000"/>
        <rFont val="Tahoma"/>
      </rPr>
      <t>ไม่</t>
    </r>
    <r>
      <rPr>
        <sz val="10"/>
        <color theme="1"/>
        <rFont val="Tahoma"/>
      </rPr>
      <t>ระบุเวลาติดต่อ</t>
    </r>
  </si>
  <si>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ไม่ระบุเวลาติดต่อ
15. Press "ถัดไป"</t>
  </si>
  <si>
    <t xml:space="preserve">"Version Built : TOL 73.3 (866)
Pass TOL 73.6 (869)
</t>
  </si>
  <si>
    <t>ON_CUS_INFO_28</t>
  </si>
  <si>
    <t>Verify Customer Info in this case:
  - ไม่กรอกเบอร์ติดต่อผู้ทำรายการ
  - เบอร์ติดต่อลูกค้า เป็นเดียวกับเบอร์ติดต่อผู้ทำรายการ</t>
  </si>
  <si>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ไม่กรอกเบอร์ติดต่อผู้ทำรายการ
15. Press "ถัดไป"</t>
  </si>
  <si>
    <t>1.Error popup "กรุณากรอกเบอร์ติดต่อผู้ทำรายการ"
 - ตกลง
2.In case เบอร์ติดต่อลูกค้า เป็นเดียวกับเบอร์ติดต่อผู้ทำรายการ Error popup 
"เบอร์ติดต่อและเบอร์ผู้ทำรายการ_x000B_ต้องไม่ซ้ำกัน กรุณาตรวจสอบ_x000B_และกรอกเบอร์ใหม่อีกครั้งค่ะ"
 - ตกลง</t>
  </si>
  <si>
    <t>Fail: [TOL 73.3 (866)]error message display difference from Figma
Test pass on iOS [TOL 73.6 (869)]</t>
  </si>
  <si>
    <t>"Version Built : 73.1.051116 (TOL-CICD) (308)
ตรวจสอบ Video นาทีที่ 0:00 - 0:22</t>
  </si>
  <si>
    <t>ON_CUS_INFO_29</t>
  </si>
  <si>
    <t>Verify Customer Info in this case:
 - เบอร์ติดต่อลูกค้า เป็นคนละเบอร์กับเบอร์ติดต่อผู้ทำรายการ</t>
  </si>
  <si>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เบอร์ติดต่อลูกค้า เป็นคนละเบอร์กับเบอร์ติดต่อผู้ทำรายการ
15. Press "ถัดไป"</t>
  </si>
  <si>
    <t>"Version Built : TOL 73.3 (866)
ตรวจสอบ Video นาทีที่ 0:00 - 0:21</t>
  </si>
  <si>
    <t>"Version Built : 73.1.051116 (TOL-CICD) (308)
ตรวจสอบ Video นาทีที่ 0:22 - 0:34</t>
  </si>
  <si>
    <t>ON_CUS_INFO_30</t>
  </si>
  <si>
    <t>Verify Customer Info in this case:
 - Input หมายเหตุ &lt;= 100 ตัวอักษร
 - ไม่กรอกหมายเหตุ</t>
  </si>
  <si>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Input หมายเหตุ &lt;= 100 ตัวอักษร
15. Press "ถัดไป"</t>
  </si>
  <si>
    <t>"Version Built : TOL 73.3 (866)
ตรวจสอบ Video นาทีที่ 0:22 - 0:32</t>
  </si>
  <si>
    <t>"Version Built : 73.1.051116 (TOL-CICD) (308)
ตรวจสอบ Video นาทีที่ 0:34 - 0:43</t>
  </si>
  <si>
    <t>ON_CUS_INFO_31</t>
  </si>
  <si>
    <t>Verify Customer Info in this case:
 - Input หมายเหตุ &gt; 100 ตัวอักษร</t>
  </si>
  <si>
    <t>1. Login One App
2. Press "ลงทะเบียนทรูออนไลน์" menu in the "บริการอื่นๆ" Category
3. Open GIS Web View and open oder on GIS Web View success
4. Navigate to Select type screen - Slect Service Type
5. Navigate to Customer ID Validation screen
     - Select card and Input Customer ID Same Location
6. Pass TOL Validation (NEW TOL)
7. In case select existing TMH - validate EXISTING TMH NUMBER (2P/4POTT) Pass
8. In case New TMH - validate CUSTOMER ID VALIDATION FOR NEW TMH ONLY -  (2P/4POTT) Pass
8. Navigate to Customer Self-Verification QR / Ref Code : STAFF SCREEN
9. In case 1P/3P - Scan QR Code
     - STAFF save image QR code sent to Customer
     - OCR Success (ถ่ายเฉพาะบัตรไม่มีถ่ายหน้า)
     - STAFF press สมัครบริการ
     - Navigate to Privilege
10. In case 2P/4POTT - Scan QR Code
     - STAFF save image QR code sent to Customer
     - OCR Success (ถ่ายบัตร,ถ่ายหน้า)
     - STAFF press สมัครบริการ
     - Navigate to More Photo page
     - Navigate to Privilege
11. Select Package
12. Select TOL Entry Fee
13. Display Product Summary press "ถัดไป"
14. Verify Customer Info
      - Input หมายเหตุ &gt; 100 ตัวอักษร
15. Press "ถัดไป"</t>
  </si>
  <si>
    <t>1.Not input หมายเหตุ &gt; 100 ตัวอักษร</t>
  </si>
  <si>
    <t>Not Start</t>
  </si>
  <si>
    <t>Inprogress</t>
  </si>
  <si>
    <t>Fail</t>
  </si>
  <si>
    <t>Block</t>
  </si>
  <si>
    <t>Pass</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</si>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</sst>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scheme val="minor"/>
    </font>
    <font>
      <b/>
      <sz val="10"/>
      <color theme="1"/>
      <name val="Tahoma"/>
    </font>
    <font>
      <sz val="11"/>
      <name val="Calibri"/>
    </font>
    <font>
      <sz val="10"/>
      <color rgb="FF000000"/>
      <name val="Tahoma"/>
    </font>
    <font>
      <sz val="10"/>
      <color theme="1"/>
      <name val="Tahoma"/>
    </font>
    <font>
      <u/>
      <sz val="10"/>
      <color theme="1"/>
      <name val="Tahoma"/>
    </font>
    <font>
      <sz val="10"/>
      <color rgb="FFFF0000"/>
      <name val="Tahoma"/>
    </font>
    <font>
      <b/>
      <sz val="10"/>
      <color rgb="FF000000"/>
      <name val="Tahoma"/>
    </font>
    <font>
      <sz val="10"/>
      <color theme="4"/>
      <name val="Tahoma"/>
    </font>
    <font>
      <b/>
      <sz val="10"/>
      <name val="Tahoma"/>
    </font>
    <font>
      <sz val="10"/>
      <name val="Tahoma"/>
    </font>
    <font>
      <u/>
      <sz val="11"/>
      <color theme="10"/>
      <name val="Calibri"/>
      <scheme val="minor"/>
    </font>
    <font>
      <sz val="10"/>
      <color theme="1"/>
      <name val="Tahoma"/>
      <family val="2"/>
    </font>
    <font>
      <sz val="10"/>
      <color rgb="FFFF0000"/>
      <name val="Tahoma"/>
      <family val="2"/>
    </font>
    <font>
      <sz val="10"/>
      <color theme="4"/>
      <name val="Tahoma"/>
      <family val="2"/>
    </font>
    <font>
      <sz val="10"/>
      <color rgb="FF000000"/>
      <name val="Tahoma"/>
      <family val="2"/>
    </font>
    <font>
      <strike/>
      <sz val="10"/>
      <color rgb="FF000000"/>
      <name val="Tahoma"/>
      <family val="2"/>
    </font>
    <font>
      <b/>
      <sz val="10"/>
      <color rgb="FF000000"/>
      <name val="Tahoma"/>
      <family val="2"/>
    </font>
    <font>
      <u/>
      <sz val="10"/>
      <color rgb="FF000000"/>
      <name val="Tahoma"/>
      <family val="2"/>
    </font>
  </fonts>
  <fills count="22">
    <fill>
      <patternFill patternType="none"/>
    </fill>
    <fill>
      <patternFill patternType="gray125"/>
    </fill>
    <fill>
      <patternFill patternType="solid">
        <fgColor rgb="FF4A86E8"/>
        <bgColor rgb="FF4A86E8"/>
      </patternFill>
    </fill>
    <fill>
      <patternFill patternType="solid">
        <fgColor rgb="FFFFF2CC"/>
        <bgColor rgb="FFFFF2CC"/>
      </patternFill>
    </fill>
    <fill>
      <patternFill patternType="solid">
        <fgColor rgb="FF76A5AF"/>
        <bgColor rgb="FF76A5AF"/>
      </patternFill>
    </fill>
    <fill>
      <patternFill patternType="solid">
        <fgColor rgb="FFF4CCCC"/>
        <bgColor rgb="FFF4CCCC"/>
      </patternFill>
    </fill>
    <fill>
      <patternFill patternType="solid">
        <fgColor rgb="FFE6B8AF"/>
        <bgColor rgb="FFE6B8AF"/>
      </patternFill>
    </fill>
    <fill>
      <patternFill patternType="solid">
        <fgColor rgb="FFB4A7D6"/>
        <bgColor rgb="FFB4A7D6"/>
      </patternFill>
    </fill>
    <fill>
      <patternFill patternType="solid">
        <fgColor rgb="FFC9DAF8"/>
        <bgColor rgb="FFC9DAF8"/>
      </patternFill>
    </fill>
    <fill>
      <patternFill patternType="solid">
        <fgColor rgb="FFEAD1DC"/>
        <bgColor rgb="FFEAD1DC"/>
      </patternFill>
    </fill>
    <fill>
      <patternFill patternType="solid">
        <fgColor rgb="FFB6D7A8"/>
        <bgColor rgb="FFB6D7A8"/>
      </patternFill>
    </fill>
    <fill>
      <patternFill patternType="solid">
        <fgColor rgb="FFFCE5CD"/>
        <bgColor rgb="FFFCE5CD"/>
      </patternFill>
    </fill>
    <fill>
      <patternFill patternType="solid">
        <fgColor rgb="FFFFFFFF"/>
        <bgColor rgb="FFFFFFFF"/>
      </patternFill>
    </fill>
    <fill>
      <patternFill patternType="solid">
        <fgColor rgb="FF339966"/>
        <bgColor rgb="FF339966"/>
      </patternFill>
    </fill>
    <fill>
      <patternFill patternType="solid">
        <fgColor theme="7" tint="0.79998168889431442"/>
        <bgColor indexed="64"/>
      </patternFill>
    </fill>
    <fill>
      <patternFill patternType="solid">
        <fgColor theme="7" tint="0.39997558519241921"/>
        <bgColor indexed="64"/>
      </patternFill>
    </fill>
    <fill>
      <patternFill patternType="solid">
        <fgColor theme="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00B050"/>
        <bgColor indexed="64"/>
      </patternFill>
    </fill>
  </fills>
  <borders count="1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190">
    <xf numFmtId="0" fontId="0" fillId="0" borderId="0" xfId="0"/>
    <xf numFmtId="0" fontId="4" fillId="0" borderId="0" xfId="0" applyFont="1" applyAlignment="1">
      <alignment horizontal="center" vertical="center"/>
    </xf>
    <xf numFmtId="0" fontId="4" fillId="0" borderId="6" xfId="0" applyFont="1" applyBorder="1" applyAlignment="1">
      <alignment horizontal="center" vertical="top" wrapText="1"/>
    </xf>
    <xf numFmtId="0" fontId="3" fillId="12" borderId="6" xfId="0" applyFont="1" applyFill="1" applyBorder="1" applyAlignment="1">
      <alignment horizontal="left" vertical="top" wrapText="1"/>
    </xf>
    <xf numFmtId="0" fontId="4" fillId="0" borderId="6" xfId="0" applyFont="1" applyBorder="1" applyAlignment="1">
      <alignment vertical="top" wrapText="1"/>
    </xf>
    <xf numFmtId="0" fontId="4" fillId="0" borderId="6" xfId="0" applyFont="1" applyBorder="1" applyAlignment="1">
      <alignment vertical="top"/>
    </xf>
    <xf numFmtId="0" fontId="4" fillId="0" borderId="6" xfId="0" applyFont="1" applyBorder="1" applyAlignment="1">
      <alignment horizontal="center" vertical="top"/>
    </xf>
    <xf numFmtId="0" fontId="4" fillId="0" borderId="0" xfId="0" applyFont="1" applyAlignment="1">
      <alignment vertical="top"/>
    </xf>
    <xf numFmtId="0" fontId="3" fillId="0" borderId="6" xfId="0" applyFont="1" applyBorder="1" applyAlignment="1">
      <alignment horizontal="left" vertical="top" wrapText="1"/>
    </xf>
    <xf numFmtId="0" fontId="5" fillId="0" borderId="6" xfId="0" applyFont="1" applyBorder="1" applyAlignment="1">
      <alignment vertical="top" wrapText="1"/>
    </xf>
    <xf numFmtId="0" fontId="4" fillId="0" borderId="6" xfId="0" applyFont="1" applyBorder="1" applyAlignment="1">
      <alignment horizontal="left" vertical="top" wrapText="1"/>
    </xf>
    <xf numFmtId="0" fontId="4" fillId="0" borderId="0" xfId="0" applyFont="1"/>
    <xf numFmtId="0" fontId="3" fillId="0" borderId="0" xfId="0" applyFont="1"/>
    <xf numFmtId="0" fontId="7" fillId="0" borderId="0" xfId="0" applyFont="1" applyAlignment="1">
      <alignment horizontal="center"/>
    </xf>
    <xf numFmtId="0" fontId="7" fillId="0" borderId="9" xfId="0" applyFont="1" applyBorder="1" applyAlignment="1">
      <alignment horizontal="center"/>
    </xf>
    <xf numFmtId="0" fontId="7" fillId="0" borderId="10" xfId="0" applyFont="1" applyBorder="1" applyAlignment="1">
      <alignment horizontal="right"/>
    </xf>
    <xf numFmtId="0" fontId="3" fillId="13" borderId="7" xfId="0" applyFont="1" applyFill="1" applyBorder="1" applyAlignment="1">
      <alignment horizontal="center"/>
    </xf>
    <xf numFmtId="0" fontId="4" fillId="0" borderId="0" xfId="0" applyFont="1" applyAlignment="1">
      <alignment horizontal="center"/>
    </xf>
    <xf numFmtId="0" fontId="3" fillId="0" borderId="7" xfId="0" applyFont="1" applyBorder="1" applyAlignment="1">
      <alignment horizontal="center"/>
    </xf>
    <xf numFmtId="10" fontId="3" fillId="0" borderId="7" xfId="0" applyNumberFormat="1" applyFont="1" applyBorder="1" applyAlignment="1">
      <alignment horizontal="center"/>
    </xf>
    <xf numFmtId="0" fontId="4" fillId="14"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3" fillId="10" borderId="1" xfId="0" applyFont="1" applyFill="1" applyBorder="1" applyAlignment="1">
      <alignment horizontal="center" vertical="center"/>
    </xf>
    <xf numFmtId="0" fontId="4" fillId="11" borderId="1" xfId="0" applyFont="1" applyFill="1" applyBorder="1" applyAlignment="1">
      <alignment horizontal="center" vertical="center" wrapText="1"/>
    </xf>
    <xf numFmtId="0" fontId="4" fillId="0" borderId="2" xfId="0" applyFont="1" applyBorder="1" applyAlignment="1">
      <alignment horizontal="center" vertical="top" wrapText="1"/>
    </xf>
    <xf numFmtId="0" fontId="4" fillId="0" borderId="8" xfId="0" applyFont="1" applyBorder="1" applyAlignment="1">
      <alignment horizontal="center" vertical="top"/>
    </xf>
    <xf numFmtId="0" fontId="4" fillId="0" borderId="1" xfId="0" applyFont="1" applyBorder="1" applyAlignment="1">
      <alignmen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vertical="top"/>
    </xf>
    <xf numFmtId="0" fontId="4" fillId="0" borderId="3" xfId="0" applyFont="1" applyBorder="1" applyAlignment="1">
      <alignment horizontal="center" vertical="top" wrapText="1"/>
    </xf>
    <xf numFmtId="0" fontId="4" fillId="0" borderId="4" xfId="0" applyFont="1" applyBorder="1" applyAlignment="1">
      <alignment horizontal="center" vertical="top"/>
    </xf>
    <xf numFmtId="0" fontId="4" fillId="0" borderId="5" xfId="0" applyFont="1" applyBorder="1" applyAlignment="1">
      <alignment horizontal="left" vertical="top" wrapText="1"/>
    </xf>
    <xf numFmtId="0" fontId="3" fillId="0" borderId="6" xfId="0" applyFont="1" applyBorder="1" applyAlignment="1">
      <alignment horizontal="center" vertical="top" wrapText="1"/>
    </xf>
    <xf numFmtId="0" fontId="6" fillId="0" borderId="2" xfId="0" applyFont="1" applyBorder="1" applyAlignment="1">
      <alignment horizontal="center"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4" xfId="0" applyFont="1" applyBorder="1" applyAlignment="1">
      <alignment horizontal="left" vertical="top" wrapText="1"/>
    </xf>
    <xf numFmtId="0" fontId="6" fillId="0" borderId="12" xfId="0" applyFont="1" applyBorder="1" applyAlignment="1">
      <alignment horizontal="center" vertical="top" wrapText="1"/>
    </xf>
    <xf numFmtId="0" fontId="3" fillId="0" borderId="5" xfId="0" applyFont="1" applyBorder="1" applyAlignment="1">
      <alignment horizontal="center" vertical="top" wrapText="1"/>
    </xf>
    <xf numFmtId="0" fontId="3" fillId="0" borderId="7" xfId="0" applyFont="1" applyBorder="1" applyAlignment="1">
      <alignment horizontal="left" vertical="top" wrapText="1"/>
    </xf>
    <xf numFmtId="0" fontId="3" fillId="0" borderId="5" xfId="0" applyFont="1" applyBorder="1" applyAlignment="1">
      <alignment horizontal="left" vertical="top" wrapText="1"/>
    </xf>
    <xf numFmtId="0" fontId="4" fillId="0" borderId="5" xfId="0" applyFont="1" applyBorder="1" applyAlignment="1">
      <alignment vertical="top"/>
    </xf>
    <xf numFmtId="0" fontId="4" fillId="0" borderId="8" xfId="0" applyFont="1" applyBorder="1" applyAlignment="1">
      <alignment horizontal="left" vertical="top" wrapText="1"/>
    </xf>
    <xf numFmtId="0" fontId="4" fillId="0" borderId="14" xfId="0" applyFont="1" applyBorder="1" applyAlignment="1">
      <alignment horizontal="center" vertical="top" wrapText="1"/>
    </xf>
    <xf numFmtId="0" fontId="3" fillId="0" borderId="8" xfId="0" applyFont="1" applyBorder="1" applyAlignment="1">
      <alignment horizontal="center" vertical="top" wrapText="1"/>
    </xf>
    <xf numFmtId="0" fontId="4" fillId="5" borderId="6"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16" borderId="6" xfId="0" applyFont="1" applyFill="1" applyBorder="1" applyAlignment="1">
      <alignment horizontal="center" vertical="top" wrapText="1"/>
    </xf>
    <xf numFmtId="0" fontId="4" fillId="16" borderId="1" xfId="0" applyFont="1" applyFill="1" applyBorder="1" applyAlignment="1">
      <alignment horizontal="left" vertical="top" wrapText="1"/>
    </xf>
    <xf numFmtId="0" fontId="4" fillId="16" borderId="4" xfId="0" applyFont="1" applyFill="1" applyBorder="1" applyAlignment="1">
      <alignment horizontal="left" vertical="top" wrapText="1"/>
    </xf>
    <xf numFmtId="0" fontId="4" fillId="16" borderId="13" xfId="0" applyFont="1" applyFill="1" applyBorder="1" applyAlignment="1">
      <alignment horizontal="center" vertical="top" wrapText="1"/>
    </xf>
    <xf numFmtId="0" fontId="3" fillId="16" borderId="6" xfId="0" applyFont="1" applyFill="1" applyBorder="1" applyAlignment="1">
      <alignment horizontal="center" vertical="top" wrapText="1"/>
    </xf>
    <xf numFmtId="0" fontId="3" fillId="16" borderId="4" xfId="0" applyFont="1" applyFill="1" applyBorder="1" applyAlignment="1">
      <alignment horizontal="center" vertical="top" wrapText="1"/>
    </xf>
    <xf numFmtId="0" fontId="3" fillId="16" borderId="1" xfId="0" applyFont="1" applyFill="1" applyBorder="1" applyAlignment="1">
      <alignment horizontal="center" vertical="top" wrapText="1"/>
    </xf>
    <xf numFmtId="0" fontId="3" fillId="16" borderId="4" xfId="0" applyFont="1" applyFill="1" applyBorder="1" applyAlignment="1">
      <alignment horizontal="left" vertical="top" wrapText="1"/>
    </xf>
    <xf numFmtId="0" fontId="3" fillId="16" borderId="1" xfId="0" applyFont="1" applyFill="1" applyBorder="1" applyAlignment="1">
      <alignment horizontal="left" vertical="top" wrapText="1"/>
    </xf>
    <xf numFmtId="0" fontId="4" fillId="16" borderId="1" xfId="0" applyFont="1" applyFill="1" applyBorder="1" applyAlignment="1">
      <alignment vertical="top"/>
    </xf>
    <xf numFmtId="0" fontId="4" fillId="16" borderId="1" xfId="0" applyFont="1" applyFill="1" applyBorder="1" applyAlignment="1">
      <alignment horizontal="center" vertical="top" wrapText="1"/>
    </xf>
    <xf numFmtId="0" fontId="4" fillId="16" borderId="8" xfId="0" applyFont="1" applyFill="1" applyBorder="1" applyAlignment="1">
      <alignment horizontal="center" vertical="top" wrapText="1"/>
    </xf>
    <xf numFmtId="0" fontId="4" fillId="16" borderId="6" xfId="0" applyFont="1" applyFill="1" applyBorder="1" applyAlignment="1">
      <alignment vertical="top" wrapText="1"/>
    </xf>
    <xf numFmtId="0" fontId="4" fillId="16" borderId="6" xfId="0" applyFont="1" applyFill="1" applyBorder="1" applyAlignment="1">
      <alignment horizontal="center" vertical="top"/>
    </xf>
    <xf numFmtId="0" fontId="4" fillId="16" borderId="0" xfId="0" applyFont="1" applyFill="1" applyAlignment="1">
      <alignment vertical="top"/>
    </xf>
    <xf numFmtId="0" fontId="0" fillId="16" borderId="0" xfId="0" applyFill="1"/>
    <xf numFmtId="0" fontId="3" fillId="17" borderId="6" xfId="0" applyFont="1" applyFill="1" applyBorder="1" applyAlignment="1">
      <alignment horizontal="center" vertical="top" wrapText="1"/>
    </xf>
    <xf numFmtId="0" fontId="4" fillId="0" borderId="2" xfId="0" applyFont="1" applyBorder="1" applyAlignment="1">
      <alignment horizontal="left" vertical="top" wrapText="1"/>
    </xf>
    <xf numFmtId="0" fontId="6" fillId="0" borderId="6" xfId="0" applyFont="1" applyBorder="1" applyAlignment="1">
      <alignment horizontal="center" vertical="top" wrapText="1"/>
    </xf>
    <xf numFmtId="0" fontId="3" fillId="0" borderId="13" xfId="0" applyFont="1" applyBorder="1" applyAlignment="1">
      <alignment horizontal="left" vertical="top" wrapText="1"/>
    </xf>
    <xf numFmtId="0" fontId="3" fillId="0" borderId="2" xfId="0" applyFont="1" applyBorder="1" applyAlignment="1">
      <alignment horizontal="center" vertical="top" wrapText="1"/>
    </xf>
    <xf numFmtId="0" fontId="3" fillId="0" borderId="0" xfId="0" applyFont="1" applyAlignment="1">
      <alignment horizontal="center"/>
    </xf>
    <xf numFmtId="10" fontId="3" fillId="0" borderId="0" xfId="0" applyNumberFormat="1" applyFont="1" applyAlignment="1">
      <alignment horizontal="center"/>
    </xf>
    <xf numFmtId="0" fontId="4" fillId="16" borderId="10" xfId="0" applyFont="1" applyFill="1" applyBorder="1" applyAlignment="1">
      <alignment horizontal="center" vertical="top" wrapText="1"/>
    </xf>
    <xf numFmtId="0" fontId="0" fillId="16" borderId="6" xfId="0" applyFill="1" applyBorder="1"/>
    <xf numFmtId="0" fontId="4" fillId="16" borderId="14" xfId="0" applyFont="1" applyFill="1" applyBorder="1" applyAlignment="1">
      <alignment horizontal="center" vertical="top" wrapText="1"/>
    </xf>
    <xf numFmtId="0" fontId="4" fillId="0" borderId="0" xfId="0" applyFont="1" applyAlignment="1">
      <alignment vertical="top" wrapText="1"/>
    </xf>
    <xf numFmtId="0" fontId="11" fillId="0" borderId="6" xfId="1" applyBorder="1" applyAlignment="1">
      <alignment horizontal="center" vertical="top"/>
    </xf>
    <xf numFmtId="0" fontId="4" fillId="14" borderId="2" xfId="0" applyFont="1" applyFill="1" applyBorder="1" applyAlignment="1">
      <alignment horizontal="center" vertical="top" wrapText="1"/>
    </xf>
    <xf numFmtId="0" fontId="3" fillId="14" borderId="6" xfId="0" applyFont="1" applyFill="1" applyBorder="1" applyAlignment="1">
      <alignment horizontal="center"/>
    </xf>
    <xf numFmtId="0" fontId="4" fillId="14" borderId="8" xfId="0" applyFont="1" applyFill="1" applyBorder="1" applyAlignment="1">
      <alignment horizontal="left" vertical="top" wrapText="1"/>
    </xf>
    <xf numFmtId="0" fontId="3" fillId="14" borderId="6" xfId="0" applyFont="1" applyFill="1" applyBorder="1" applyAlignment="1">
      <alignment horizontal="left" vertical="top" wrapText="1"/>
    </xf>
    <xf numFmtId="0" fontId="3" fillId="14" borderId="6" xfId="0" applyFont="1" applyFill="1" applyBorder="1" applyAlignment="1">
      <alignment horizontal="center" vertical="top" wrapText="1"/>
    </xf>
    <xf numFmtId="0" fontId="3" fillId="14" borderId="8" xfId="0" applyFont="1" applyFill="1" applyBorder="1" applyAlignment="1">
      <alignment horizontal="left" vertical="top" wrapText="1"/>
    </xf>
    <xf numFmtId="0" fontId="4" fillId="14" borderId="6" xfId="0" applyFont="1" applyFill="1" applyBorder="1" applyAlignment="1">
      <alignment vertical="top" wrapText="1"/>
    </xf>
    <xf numFmtId="0" fontId="4" fillId="14" borderId="6" xfId="0" applyFont="1" applyFill="1" applyBorder="1" applyAlignment="1">
      <alignment vertical="top"/>
    </xf>
    <xf numFmtId="0" fontId="4" fillId="14" borderId="6" xfId="0" applyFont="1" applyFill="1" applyBorder="1" applyAlignment="1">
      <alignment horizontal="center" vertical="top" wrapText="1"/>
    </xf>
    <xf numFmtId="0" fontId="4" fillId="14" borderId="6" xfId="0" applyFont="1" applyFill="1" applyBorder="1" applyAlignment="1">
      <alignment horizontal="center" vertical="top"/>
    </xf>
    <xf numFmtId="0" fontId="4" fillId="14" borderId="0" xfId="0" applyFont="1" applyFill="1" applyAlignment="1">
      <alignment vertical="top"/>
    </xf>
    <xf numFmtId="0" fontId="0" fillId="14" borderId="0" xfId="0" applyFill="1"/>
    <xf numFmtId="0" fontId="12" fillId="0" borderId="8" xfId="0" applyFont="1" applyBorder="1" applyAlignment="1">
      <alignment horizontal="left" vertical="top" wrapText="1"/>
    </xf>
    <xf numFmtId="0" fontId="12" fillId="3" borderId="6" xfId="0" applyFont="1" applyFill="1" applyBorder="1" applyAlignment="1">
      <alignment horizontal="left" vertical="top" wrapText="1"/>
    </xf>
    <xf numFmtId="0" fontId="15" fillId="0" borderId="6" xfId="0" applyFont="1" applyBorder="1" applyAlignment="1">
      <alignment horizontal="left" vertical="top" wrapText="1"/>
    </xf>
    <xf numFmtId="0" fontId="4" fillId="19" borderId="6" xfId="0" applyFont="1" applyFill="1" applyBorder="1" applyAlignment="1">
      <alignment horizontal="center" vertical="top" wrapText="1"/>
    </xf>
    <xf numFmtId="0" fontId="12" fillId="0" borderId="0" xfId="0" applyFont="1" applyAlignment="1">
      <alignment vertical="top" wrapText="1"/>
    </xf>
    <xf numFmtId="0" fontId="3" fillId="0" borderId="14" xfId="0" applyFont="1" applyBorder="1" applyAlignment="1">
      <alignment horizontal="left" vertical="top" wrapText="1"/>
    </xf>
    <xf numFmtId="0" fontId="3" fillId="0" borderId="16" xfId="0" applyFont="1" applyBorder="1" applyAlignment="1">
      <alignment horizontal="left" vertical="top" wrapText="1"/>
    </xf>
    <xf numFmtId="0" fontId="4" fillId="0" borderId="16" xfId="0" applyFont="1" applyBorder="1" applyAlignment="1">
      <alignment vertical="top"/>
    </xf>
    <xf numFmtId="0" fontId="4" fillId="0" borderId="16" xfId="0" applyFont="1" applyBorder="1" applyAlignment="1">
      <alignment vertical="top" wrapText="1"/>
    </xf>
    <xf numFmtId="0" fontId="4" fillId="0" borderId="16" xfId="0" applyFont="1" applyBorder="1" applyAlignment="1">
      <alignment horizontal="center" vertical="top"/>
    </xf>
    <xf numFmtId="0" fontId="15" fillId="12" borderId="6" xfId="0" applyFont="1" applyFill="1" applyBorder="1" applyAlignment="1">
      <alignment horizontal="left" vertical="top" wrapText="1"/>
    </xf>
    <xf numFmtId="0" fontId="15" fillId="14" borderId="6" xfId="0" applyFont="1" applyFill="1" applyBorder="1" applyAlignment="1">
      <alignment horizontal="left" vertical="top" wrapText="1"/>
    </xf>
    <xf numFmtId="0" fontId="15" fillId="0" borderId="8" xfId="0" applyFont="1" applyBorder="1" applyAlignment="1">
      <alignment horizontal="left" vertical="top" wrapText="1"/>
    </xf>
    <xf numFmtId="0" fontId="11" fillId="0" borderId="16" xfId="1" applyFill="1" applyBorder="1" applyAlignment="1">
      <alignment horizontal="center" vertical="top"/>
    </xf>
    <xf numFmtId="0" fontId="0" fillId="0" borderId="16" xfId="0" applyBorder="1" applyAlignment="1">
      <alignment horizontal="center" vertical="top"/>
    </xf>
    <xf numFmtId="0" fontId="11" fillId="0" borderId="16" xfId="1" applyBorder="1" applyAlignment="1">
      <alignment horizontal="center" vertical="top"/>
    </xf>
    <xf numFmtId="0" fontId="11" fillId="20" borderId="16" xfId="1" applyFill="1" applyBorder="1" applyAlignment="1">
      <alignment horizontal="center" vertical="top"/>
    </xf>
    <xf numFmtId="0" fontId="12" fillId="0" borderId="6" xfId="0" applyFont="1" applyBorder="1" applyAlignment="1">
      <alignment vertical="top"/>
    </xf>
    <xf numFmtId="0" fontId="11" fillId="0" borderId="6" xfId="1" applyFill="1" applyBorder="1" applyAlignment="1">
      <alignment horizontal="center" vertical="top"/>
    </xf>
    <xf numFmtId="0" fontId="4" fillId="20" borderId="2" xfId="0" applyFont="1" applyFill="1" applyBorder="1" applyAlignment="1">
      <alignment horizontal="center" vertical="top" wrapText="1"/>
    </xf>
    <xf numFmtId="0" fontId="4" fillId="20" borderId="8" xfId="0" applyFont="1" applyFill="1" applyBorder="1" applyAlignment="1">
      <alignment horizontal="left" vertical="top" wrapText="1"/>
    </xf>
    <xf numFmtId="0" fontId="3" fillId="20" borderId="6" xfId="0" applyFont="1" applyFill="1" applyBorder="1" applyAlignment="1">
      <alignment horizontal="left" vertical="top" wrapText="1"/>
    </xf>
    <xf numFmtId="0" fontId="3" fillId="20" borderId="6" xfId="0" applyFont="1" applyFill="1" applyBorder="1" applyAlignment="1">
      <alignment horizontal="center" vertical="top" wrapText="1"/>
    </xf>
    <xf numFmtId="0" fontId="3" fillId="20" borderId="8" xfId="0" applyFont="1" applyFill="1" applyBorder="1" applyAlignment="1">
      <alignment horizontal="left" vertical="top" wrapText="1"/>
    </xf>
    <xf numFmtId="0" fontId="12" fillId="20" borderId="6" xfId="0" applyFont="1" applyFill="1" applyBorder="1" applyAlignment="1">
      <alignment vertical="top" wrapText="1"/>
    </xf>
    <xf numFmtId="0" fontId="4" fillId="20" borderId="6" xfId="0" applyFont="1" applyFill="1" applyBorder="1" applyAlignment="1">
      <alignment vertical="top"/>
    </xf>
    <xf numFmtId="0" fontId="12" fillId="20" borderId="6" xfId="0" applyFont="1" applyFill="1" applyBorder="1" applyAlignment="1">
      <alignment vertical="top"/>
    </xf>
    <xf numFmtId="0" fontId="12" fillId="0" borderId="6" xfId="0" applyFont="1" applyBorder="1" applyAlignment="1">
      <alignment horizontal="left" vertical="top" wrapText="1"/>
    </xf>
    <xf numFmtId="0" fontId="15" fillId="0" borderId="5" xfId="0" applyFont="1" applyBorder="1" applyAlignment="1">
      <alignment horizontal="left" vertical="top" wrapText="1"/>
    </xf>
    <xf numFmtId="0" fontId="12" fillId="0" borderId="6" xfId="0" applyFont="1" applyBorder="1" applyAlignment="1">
      <alignment vertical="top" wrapText="1"/>
    </xf>
    <xf numFmtId="0" fontId="3" fillId="0" borderId="2" xfId="0" applyFont="1" applyBorder="1" applyAlignment="1">
      <alignment horizontal="left" vertical="top" wrapText="1"/>
    </xf>
    <xf numFmtId="0" fontId="12" fillId="0" borderId="8" xfId="0" applyFont="1" applyBorder="1" applyAlignment="1">
      <alignment vertical="top"/>
    </xf>
    <xf numFmtId="0" fontId="12" fillId="0" borderId="5" xfId="0" applyFont="1" applyBorder="1" applyAlignment="1">
      <alignment vertical="top" wrapText="1"/>
    </xf>
    <xf numFmtId="0" fontId="4" fillId="21" borderId="6" xfId="0" applyFont="1" applyFill="1" applyBorder="1" applyAlignment="1">
      <alignment horizontal="center" vertical="top" wrapText="1"/>
    </xf>
    <xf numFmtId="0" fontId="4" fillId="21" borderId="8" xfId="0" applyFont="1" applyFill="1" applyBorder="1" applyAlignment="1">
      <alignment horizontal="center" vertical="top" wrapText="1"/>
    </xf>
    <xf numFmtId="0" fontId="4" fillId="21" borderId="5" xfId="0" applyFont="1" applyFill="1" applyBorder="1" applyAlignment="1">
      <alignment horizontal="center" vertical="top" wrapText="1"/>
    </xf>
    <xf numFmtId="0" fontId="4" fillId="21" borderId="2" xfId="0" applyFont="1" applyFill="1" applyBorder="1" applyAlignment="1">
      <alignment horizontal="center" vertical="top" wrapText="1"/>
    </xf>
    <xf numFmtId="0" fontId="4" fillId="21" borderId="1" xfId="0" applyFont="1" applyFill="1" applyBorder="1" applyAlignment="1">
      <alignment horizontal="center" vertical="top" wrapText="1"/>
    </xf>
    <xf numFmtId="0" fontId="4" fillId="21" borderId="3" xfId="0" applyFont="1" applyFill="1" applyBorder="1" applyAlignment="1">
      <alignment horizontal="center" vertical="top" wrapText="1"/>
    </xf>
    <xf numFmtId="0" fontId="4" fillId="21" borderId="16" xfId="0" applyFont="1" applyFill="1" applyBorder="1" applyAlignment="1">
      <alignment horizontal="center" vertical="top" wrapText="1"/>
    </xf>
    <xf numFmtId="0" fontId="7" fillId="10" borderId="3"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7" fillId="10" borderId="12"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7" fillId="15" borderId="3" xfId="0" applyFont="1" applyFill="1" applyBorder="1" applyAlignment="1">
      <alignment horizontal="center" vertical="center" wrapText="1"/>
    </xf>
    <xf numFmtId="0" fontId="7" fillId="15" borderId="15" xfId="0" applyFont="1" applyFill="1" applyBorder="1" applyAlignment="1">
      <alignment horizontal="center" vertical="center" wrapText="1"/>
    </xf>
    <xf numFmtId="0" fontId="7" fillId="15" borderId="12" xfId="0" applyFont="1" applyFill="1" applyBorder="1" applyAlignment="1">
      <alignment horizontal="center" vertical="center" wrapText="1"/>
    </xf>
    <xf numFmtId="0" fontId="7" fillId="15" borderId="6" xfId="0" applyFont="1" applyFill="1" applyBorder="1" applyAlignment="1">
      <alignment horizontal="center" vertical="center" wrapText="1"/>
    </xf>
    <xf numFmtId="0" fontId="7" fillId="1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18" borderId="6" xfId="0" applyFont="1" applyFill="1" applyBorder="1" applyAlignment="1">
      <alignment horizontal="center" vertical="center" wrapText="1"/>
    </xf>
    <xf numFmtId="0" fontId="9" fillId="18" borderId="1" xfId="0" applyFont="1" applyFill="1" applyBorder="1" applyAlignment="1">
      <alignment horizontal="center" vertical="center"/>
    </xf>
    <xf numFmtId="0" fontId="9" fillId="18" borderId="11" xfId="0" applyFont="1" applyFill="1" applyBorder="1" applyAlignment="1">
      <alignment horizontal="center" vertical="center"/>
    </xf>
    <xf numFmtId="0" fontId="3" fillId="20" borderId="2" xfId="0" applyFont="1" applyFill="1" applyBorder="1" applyAlignment="1">
      <alignment horizontal="center" vertical="top" wrapText="1"/>
    </xf>
    <xf numFmtId="0" fontId="3" fillId="20" borderId="8" xfId="0" applyFont="1" applyFill="1" applyBorder="1" applyAlignment="1">
      <alignment horizontal="center" vertical="top" wrapText="1"/>
    </xf>
    <xf numFmtId="0" fontId="1" fillId="14" borderId="6" xfId="0" applyFont="1" applyFill="1" applyBorder="1" applyAlignment="1">
      <alignment horizontal="center" vertical="center" wrapText="1"/>
    </xf>
    <xf numFmtId="0" fontId="4" fillId="14" borderId="6"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10" fillId="14" borderId="6" xfId="0" applyFont="1" applyFill="1" applyBorder="1" applyAlignment="1">
      <alignment horizontal="center" vertical="center"/>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5" xfId="0" applyFont="1" applyFill="1" applyBorder="1" applyAlignment="1">
      <alignment horizontal="center" vertical="center"/>
    </xf>
    <xf numFmtId="0" fontId="1" fillId="8" borderId="3" xfId="0" applyFont="1" applyFill="1" applyBorder="1" applyAlignment="1">
      <alignment horizontal="center" vertical="center" wrapText="1"/>
    </xf>
    <xf numFmtId="0" fontId="1" fillId="8" borderId="1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1" fillId="9" borderId="3"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9" borderId="12"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12"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15" fillId="20" borderId="2" xfId="0" applyFont="1" applyFill="1" applyBorder="1" applyAlignment="1">
      <alignment horizontal="left" vertical="top" wrapText="1"/>
    </xf>
    <xf numFmtId="0" fontId="15" fillId="20" borderId="8" xfId="0" applyFont="1" applyFill="1" applyBorder="1" applyAlignment="1">
      <alignment horizontal="left" vertical="top" wrapText="1"/>
    </xf>
    <xf numFmtId="0" fontId="11" fillId="0" borderId="1" xfId="1" applyBorder="1" applyAlignment="1">
      <alignment horizontal="center" vertical="top"/>
    </xf>
    <xf numFmtId="0" fontId="18" fillId="20" borderId="2" xfId="0" applyFont="1" applyFill="1" applyBorder="1" applyAlignment="1">
      <alignment horizontal="center" vertical="top" wrapText="1"/>
    </xf>
    <xf numFmtId="0" fontId="9" fillId="14" borderId="6" xfId="0" applyFont="1" applyFill="1" applyBorder="1" applyAlignment="1"/>
    <xf numFmtId="0" fontId="2" fillId="0" borderId="11" xfId="0" applyFont="1" applyBorder="1" applyAlignment="1"/>
  </cellXfs>
  <cellStyles count="2">
    <cellStyle name="Hyperlink" xfId="1" builtinId="8"/>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2" Type="http://schemas.openxmlformats.org/officeDocument/2006/relationships/theme" Target="theme/theme1.xml"/><Relationship Id="rId76" Type="http://schemas.openxmlformats.org/officeDocument/2006/relationships/customXml" Target="../customXml/item1.xml"/><Relationship Id="rId71" Type="http://customschemas.google.com/relationships/workbookmetadata" Target="metadata"/><Relationship Id="rId2" Type="http://schemas.openxmlformats.org/officeDocument/2006/relationships/worksheet" Target="worksheets/sheet2.xml"/><Relationship Id="rId75" Type="http://schemas.openxmlformats.org/officeDocument/2006/relationships/calcChain" Target="calcChain.xml"/><Relationship Id="rId1" Type="http://schemas.openxmlformats.org/officeDocument/2006/relationships/worksheet" Target="worksheets/sheet1.xml"/><Relationship Id="rId74" Type="http://schemas.openxmlformats.org/officeDocument/2006/relationships/sharedStrings" Target="sharedStrings.xml"/><Relationship Id="rId73" Type="http://schemas.openxmlformats.org/officeDocument/2006/relationships/styles" Target="styles.xml"/><Relationship Id="rId78" Type="http://schemas.openxmlformats.org/officeDocument/2006/relationships/customXml" Target="../customXml/item3.xml"/><Relationship Id="rId7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447675</xdr:colOff>
      <xdr:row>23</xdr:row>
      <xdr:rowOff>114300</xdr:rowOff>
    </xdr:to>
    <xdr:pic>
      <xdr:nvPicPr>
        <xdr:cNvPr id="2" name="Picture 1">
          <a:extLst>
            <a:ext uri="{FF2B5EF4-FFF2-40B4-BE49-F238E27FC236}">
              <a16:creationId xmlns:a16="http://schemas.microsoft.com/office/drawing/2014/main" id="{786EDBD0-6564-4E3C-9B3E-5EC248CBB938}"/>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10810875" cy="4495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0/Android/ON_CUS_INFO_19-20.mp4?csf=1&amp;web=1&amp;e=qcISF6" TargetMode="External"/><Relationship Id="rId18"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5/Android/ON_CUS_INFO_25+27.mp4?csf=1&amp;web=1&amp;e=yz1Tsw" TargetMode="External"/><Relationship Id="rId26"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2/iOS/iOS_ON_INFO_02.mov?csf=1&amp;web=1&amp;e=clV7HJ" TargetMode="External"/><Relationship Id="rId39"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6/iOS/iOS_ON_INFO_25-27.MP4?csf=1&amp;web=1&amp;e=soBAbV" TargetMode="External"/><Relationship Id="rId2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30/Android/ON_CUS_INFO_29-31.mp4?csf=1&amp;web=1&amp;e=55yyHq" TargetMode="External"/><Relationship Id="rId3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1/iOS/iOS_ON_INFO_20-21.MP4?csf=1&amp;web=1&amp;e=mZ0aEA" TargetMode="External"/><Relationship Id="rId4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30/iOS/iOS_ON_INFO_30-31.MP4?csf=1&amp;web=1&amp;e=6LN1P8" TargetMode="External"/><Relationship Id="rId47"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4/iOS/iOS_ON_INFO_04.MP4?csf=1&amp;web=1&amp;e=0rS4Jl" TargetMode="External"/><Relationship Id="rId50"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7/iOS/iOS_ON_INFO_07.MP4?csf=1&amp;web=1&amp;e=vwwsAo" TargetMode="External"/><Relationship Id="rId55" Type="http://schemas.openxmlformats.org/officeDocument/2006/relationships/hyperlink" Target="https://truecorp.sharepoint.com/:f:/s/TrueCorp-TrueDtacTH-TotalAccessCommunicationPlc-TechM-Workingarea/IgBXKADXu0K1Sb2hZ_8zDKXKAQT0LnGtJutLY9SSDhNpoaw?e=4kNmGR" TargetMode="External"/><Relationship Id="rId7"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3/Android/ON_CUS_INFO_10-13.mp4?csf=1&amp;web=1&amp;e=swPRBl" TargetMode="External"/><Relationship Id="rId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1/Android/ON_CUS_INFO_01_02.mp4?csf=1&amp;web=1&amp;e=KddVpV" TargetMode="External"/><Relationship Id="rId16"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4/Android/ON_CUS_INFO_23-24+26.mp4?csf=1&amp;web=1&amp;e=aDp2zA" TargetMode="External"/><Relationship Id="rId29"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2/iOS/iOS_ON_INFO_12-13.MP4?csf=1&amp;web=1&amp;e=dAg9ly" TargetMode="External"/><Relationship Id="rId1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8/Android/ON_CUS_INFO_18.mp4?csf=1&amp;web=1&amp;e=bzjPvp" TargetMode="External"/><Relationship Id="rId2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4/Android/ADR_ON_CUS_INFO_04.mp4?csf=1&amp;web=1&amp;e=DvFB8h" TargetMode="External"/><Relationship Id="rId3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9/iOS/iOS_ON_INFO_18-19.MP4?csf=1&amp;web=1&amp;e=6Q9Bbi" TargetMode="External"/><Relationship Id="rId37"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4/iOS/iOS_ON_INFO_23-24.MP4?csf=1&amp;web=1&amp;e=62c3oY" TargetMode="External"/><Relationship Id="rId40"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7/iOS/iOS_ON_INFO_25-27.MP4?csf=1&amp;web=1&amp;e=Yhli5U" TargetMode="External"/><Relationship Id="rId45"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7/Android/ADR_ON_CUS_INFO_17.mp4?csf=1&amp;web=1&amp;e=grw8gm" TargetMode="External"/><Relationship Id="rId5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8/iOS/iOS_ON_INFO_28.MP4?csf=1&amp;web=1&amp;e=kZqHFc" TargetMode="External"/><Relationship Id="rId5"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1/Android/ON_CUS_INFO_10-13.mp4?csf=1&amp;web=1&amp;e=klMazi" TargetMode="External"/><Relationship Id="rId10"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6/Android/ON_CUS_INFO_14-16.mp4?csf=1&amp;web=1&amp;e=huSxhI" TargetMode="External"/><Relationship Id="rId19"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7/Android/ON_CUS_INFO_25+27.mp4?csf=1&amp;web=1&amp;e=vNhcpy" TargetMode="External"/><Relationship Id="rId3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8/iOS/iOS_ON_INFO_18-19.MP4?csf=1&amp;web=1&amp;e=2WsTgb" TargetMode="External"/><Relationship Id="rId4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8/Android/ADR_ON_CUS_INFO_28.mp4?csf=1&amp;web=1&amp;e=WlXeJh" TargetMode="External"/><Relationship Id="rId5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9/iOS/iOS_ON_INFO_09.MP4?csf=1&amp;web=1&amp;e=jfaHGd" TargetMode="External"/><Relationship Id="rId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0/Android/ON_CUS_INFO_10-13.mp4?csf=1&amp;web=1&amp;e=EWwAyE" TargetMode="External"/><Relationship Id="rId9"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5/Android/ON_CUS_INFO_14-16.mp4?csf=1&amp;web=1&amp;e=s6BmKx" TargetMode="External"/><Relationship Id="rId1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1/Android/ON_CUS_INFO_21.mp4?csf=1&amp;web=1&amp;e=e0ORTr" TargetMode="External"/><Relationship Id="rId2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31/Android/ON_CUS_INFO_29-31.mp4?csf=1&amp;web=1&amp;e=g77uuA" TargetMode="External"/><Relationship Id="rId27"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0/iOS/iOS_ON_INFO_10-11.MP4?csf=1&amp;web=1&amp;e=1uObDL" TargetMode="External"/><Relationship Id="rId30"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3/iOS/iOS_ON_INFO_12-13.MP4?csf=1&amp;web=1&amp;e=CvtvYR" TargetMode="External"/><Relationship Id="rId35"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2/iOS/iOS_ON_INFO_22.MP4?csf=1&amp;web=1&amp;e=gBnJHk" TargetMode="External"/><Relationship Id="rId4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31/iOS/iOS_ON_INFO_30-31.MP4?csf=1&amp;web=1&amp;e=vdiczB" TargetMode="External"/><Relationship Id="rId48"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3/iOS/iOS_ON_INFO_03.MP4?csf=1&amp;web=1&amp;e=P0L2Yy" TargetMode="External"/><Relationship Id="rId8"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4/Android/ON_CUS_INFO_14-16.mp4?csf=1&amp;web=1&amp;e=ckyJXL" TargetMode="External"/><Relationship Id="rId5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8/iOS/iOS_ON_INFO_08.MP4?csf=1&amp;web=1&amp;e=VeisKs" TargetMode="External"/><Relationship Id="rId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8/Android/ON_CUS_INFO_08-09.mp4?csf=1&amp;web=1&amp;e=LGNk2k" TargetMode="External"/><Relationship Id="rId1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9/Android/ON_CUS_INFO_19-20.mp4?csf=1&amp;web=1&amp;e=QZFupd" TargetMode="External"/><Relationship Id="rId17"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6/Android/ON_CUS_INFO_23-24+26.mp4?csf=1&amp;web=1&amp;e=BCVNEG" TargetMode="External"/><Relationship Id="rId25"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1/iOS/iOS_ON_INFO_01.MOV?csf=1&amp;web=1&amp;e=Hm50BZ" TargetMode="External"/><Relationship Id="rId3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0/iOS/iOS_ON_INFO_20-21.MP4?csf=1&amp;web=1&amp;e=uCfIgW" TargetMode="External"/><Relationship Id="rId38"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5/iOS/iOS_ON_INFO_25-27.MP4?csf=1&amp;web=1&amp;e=a2kAKL" TargetMode="External"/><Relationship Id="rId46"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7/Android/ADR_ON_CUS_INFO_7.mp4?csf=1&amp;web=1&amp;e=mg8fCt" TargetMode="External"/><Relationship Id="rId20"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9/Android/ON_CUS_INFO_29-31.mp4?csf=1&amp;web=1&amp;e=uo5oQe" TargetMode="External"/><Relationship Id="rId4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9/iOS/iOS_ON_INFO_29.MP4?csf=1&amp;web=1&amp;e=sCfxFo" TargetMode="External"/><Relationship Id="rId5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2/Android/ADR_ON_INFO_22.mp4?csf=1&amp;web=1&amp;e=nD1dnX" TargetMode="External"/><Relationship Id="rId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1/Android/ON_CUS_INFO_01_02.mp4?csf=1&amp;web=1&amp;e=KddVpV" TargetMode="External"/><Relationship Id="rId6"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2/Android/ON_CUS_INFO_10-13.mp4?csf=1&amp;web=1&amp;e=alR386" TargetMode="External"/><Relationship Id="rId15"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3/Android/ON_CUS_INFO_23-24+26.mp4?csf=1&amp;web=1&amp;e=NlebYT" TargetMode="External"/><Relationship Id="rId2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03/Android/ADR_ON_CUS_INFO_03.mp4?csf=1&amp;web=1&amp;e=VLztuW" TargetMode="External"/><Relationship Id="rId28"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1/iOS/iOS_ON_INFO_10-11.MP4?csf=1&amp;web=1&amp;e=frXrA7" TargetMode="External"/><Relationship Id="rId36"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23/iOS/iOS_ON_INFO_23-24.MP4?csf=1&amp;web=1&amp;e=018en4" TargetMode="External"/><Relationship Id="rId49"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7.%20Customer%20Info/ON_CUS_INFO_14/iOS/iOS_ON_INFO_14.MP4?csf=1&amp;web=1&amp;e=XABZ5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3576B-175B-40D7-A53A-BCE7D55A5623}">
  <dimension ref="A1"/>
  <sheetViews>
    <sheetView workbookViewId="0"/>
  </sheetViews>
  <sheetFormatPr defaultRowHeight="14.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E963"/>
  <sheetViews>
    <sheetView tabSelected="1" zoomScale="55" zoomScaleNormal="55" workbookViewId="0">
      <pane ySplit="3" topLeftCell="AI34" activePane="bottomLeft" state="frozen"/>
      <selection pane="bottomLeft" activeCell="G13" sqref="G13"/>
    </sheetView>
  </sheetViews>
  <sheetFormatPr defaultColWidth="14.42578125" defaultRowHeight="15" customHeight="1"/>
  <cols>
    <col min="1" max="2" width="18.7109375" customWidth="1"/>
    <col min="3" max="3" width="15.5703125" customWidth="1"/>
    <col min="4" max="4" width="6.42578125" customWidth="1"/>
    <col min="5" max="5" width="28.7109375" bestFit="1" customWidth="1"/>
    <col min="6" max="6" width="8.140625" bestFit="1" customWidth="1"/>
    <col min="7" max="7" width="35.28515625" bestFit="1" customWidth="1"/>
    <col min="8" max="8" width="18.7109375" customWidth="1"/>
    <col min="9" max="9" width="37.140625" customWidth="1"/>
    <col min="10" max="10" width="11.42578125" customWidth="1"/>
    <col min="11" max="13" width="8.28515625" customWidth="1"/>
    <col min="14" max="14" width="9.140625" customWidth="1"/>
    <col min="15" max="17" width="8.28515625" customWidth="1"/>
    <col min="18" max="18" width="7.28515625" customWidth="1"/>
    <col min="19" max="19" width="10.5703125" customWidth="1"/>
    <col min="20" max="20" width="8.85546875" customWidth="1"/>
    <col min="21" max="22" width="9.7109375" customWidth="1"/>
    <col min="23" max="24" width="7.28515625" customWidth="1"/>
    <col min="25" max="25" width="9.7109375" customWidth="1"/>
    <col min="26" max="26" width="7.85546875" customWidth="1"/>
    <col min="27" max="29" width="8" customWidth="1"/>
    <col min="30" max="31" width="7.7109375" customWidth="1"/>
    <col min="32" max="33" width="8.42578125" customWidth="1"/>
    <col min="34" max="34" width="11" customWidth="1"/>
    <col min="35" max="35" width="8.7109375" customWidth="1"/>
    <col min="36" max="36" width="45.28515625" customWidth="1"/>
    <col min="37" max="37" width="65" customWidth="1"/>
    <col min="38" max="38" width="22.5703125" customWidth="1"/>
    <col min="39" max="39" width="19.42578125" customWidth="1"/>
    <col min="40" max="41" width="16.7109375" customWidth="1"/>
    <col min="42" max="42" width="41" customWidth="1"/>
    <col min="43" max="43" width="11.28515625" customWidth="1"/>
    <col min="44" max="44" width="42.140625" customWidth="1"/>
    <col min="45" max="45" width="45.5703125" customWidth="1"/>
    <col min="46" max="57" width="12.7109375" customWidth="1"/>
  </cols>
  <sheetData>
    <row r="1" spans="1:57" ht="30.75" customHeight="1">
      <c r="A1" s="145" t="s">
        <v>0</v>
      </c>
      <c r="B1" s="145" t="s">
        <v>1</v>
      </c>
      <c r="C1" s="145" t="s">
        <v>2</v>
      </c>
      <c r="D1" s="148" t="s">
        <v>3</v>
      </c>
      <c r="E1" s="148"/>
      <c r="F1" s="148" t="s">
        <v>4</v>
      </c>
      <c r="G1" s="148"/>
      <c r="H1" s="145" t="s">
        <v>5</v>
      </c>
      <c r="I1" s="145" t="s">
        <v>6</v>
      </c>
      <c r="J1" s="145" t="s">
        <v>7</v>
      </c>
      <c r="K1" s="153" t="s">
        <v>8</v>
      </c>
      <c r="L1" s="188"/>
      <c r="M1" s="188"/>
      <c r="N1" s="188"/>
      <c r="O1" s="188"/>
      <c r="P1" s="188"/>
      <c r="Q1" s="174" t="s">
        <v>9</v>
      </c>
      <c r="R1" s="174" t="s">
        <v>10</v>
      </c>
      <c r="S1" s="136" t="s">
        <v>11</v>
      </c>
      <c r="T1" s="139" t="s">
        <v>12</v>
      </c>
      <c r="U1" s="141" t="s">
        <v>13</v>
      </c>
      <c r="V1" s="142"/>
      <c r="W1" s="157" t="s">
        <v>14</v>
      </c>
      <c r="X1" s="158"/>
      <c r="Y1" s="161" t="s">
        <v>15</v>
      </c>
      <c r="Z1" s="162"/>
      <c r="AA1" s="168" t="s">
        <v>16</v>
      </c>
      <c r="AB1" s="169"/>
      <c r="AC1" s="170"/>
      <c r="AD1" s="176" t="s">
        <v>17</v>
      </c>
      <c r="AE1" s="177"/>
      <c r="AF1" s="132" t="s">
        <v>18</v>
      </c>
      <c r="AG1" s="133"/>
      <c r="AH1" s="180" t="s">
        <v>19</v>
      </c>
      <c r="AI1" s="181"/>
      <c r="AJ1" s="145" t="s">
        <v>20</v>
      </c>
      <c r="AK1" s="145" t="s">
        <v>21</v>
      </c>
      <c r="AL1" s="145" t="s">
        <v>22</v>
      </c>
      <c r="AM1" s="145" t="s">
        <v>23</v>
      </c>
      <c r="AN1" s="165" t="s">
        <v>24</v>
      </c>
      <c r="AO1" s="165" t="s">
        <v>25</v>
      </c>
      <c r="AP1" s="145" t="s">
        <v>26</v>
      </c>
      <c r="AQ1" s="145" t="s">
        <v>27</v>
      </c>
      <c r="AR1" s="1"/>
      <c r="AS1" s="1"/>
      <c r="AT1" s="1"/>
      <c r="AU1" s="1"/>
      <c r="AV1" s="1"/>
      <c r="AW1" s="1"/>
      <c r="AX1" s="1"/>
      <c r="AY1" s="1"/>
      <c r="AZ1" s="1"/>
      <c r="BA1" s="1"/>
      <c r="BB1" s="1"/>
      <c r="BC1" s="1"/>
      <c r="BD1" s="1"/>
      <c r="BE1" s="1"/>
    </row>
    <row r="2" spans="1:57" ht="14.45">
      <c r="A2" s="146"/>
      <c r="B2" s="146"/>
      <c r="C2" s="146"/>
      <c r="D2" s="149" t="s">
        <v>28</v>
      </c>
      <c r="E2" s="149" t="s">
        <v>29</v>
      </c>
      <c r="F2" s="149" t="s">
        <v>28</v>
      </c>
      <c r="G2" s="149" t="s">
        <v>29</v>
      </c>
      <c r="H2" s="146"/>
      <c r="I2" s="146"/>
      <c r="J2" s="146"/>
      <c r="K2" s="154" t="s">
        <v>30</v>
      </c>
      <c r="L2" s="154" t="s">
        <v>31</v>
      </c>
      <c r="M2" s="156" t="s">
        <v>32</v>
      </c>
      <c r="N2" s="156"/>
      <c r="O2" s="156"/>
      <c r="P2" s="156"/>
      <c r="Q2" s="175"/>
      <c r="R2" s="175"/>
      <c r="S2" s="137"/>
      <c r="T2" s="139"/>
      <c r="U2" s="143"/>
      <c r="V2" s="144"/>
      <c r="W2" s="159"/>
      <c r="X2" s="160"/>
      <c r="Y2" s="163"/>
      <c r="Z2" s="164"/>
      <c r="AA2" s="171"/>
      <c r="AB2" s="172"/>
      <c r="AC2" s="173"/>
      <c r="AD2" s="178"/>
      <c r="AE2" s="179"/>
      <c r="AF2" s="134"/>
      <c r="AG2" s="135"/>
      <c r="AH2" s="182"/>
      <c r="AI2" s="183"/>
      <c r="AJ2" s="146"/>
      <c r="AK2" s="146"/>
      <c r="AL2" s="146"/>
      <c r="AM2" s="146"/>
      <c r="AN2" s="166"/>
      <c r="AO2" s="166"/>
      <c r="AP2" s="146"/>
      <c r="AQ2" s="146"/>
      <c r="AR2" s="1"/>
      <c r="AS2" s="1"/>
      <c r="AT2" s="1"/>
      <c r="AU2" s="1"/>
      <c r="AV2" s="1"/>
      <c r="AW2" s="1"/>
      <c r="AX2" s="1"/>
      <c r="AY2" s="1"/>
      <c r="AZ2" s="1"/>
      <c r="BA2" s="1"/>
      <c r="BB2" s="1"/>
      <c r="BC2" s="1"/>
      <c r="BD2" s="1"/>
      <c r="BE2" s="1"/>
    </row>
    <row r="3" spans="1:57" ht="45.75" customHeight="1">
      <c r="A3" s="189"/>
      <c r="B3" s="147"/>
      <c r="C3" s="189"/>
      <c r="D3" s="150"/>
      <c r="E3" s="150"/>
      <c r="F3" s="150"/>
      <c r="G3" s="150"/>
      <c r="H3" s="189"/>
      <c r="I3" s="189"/>
      <c r="J3" s="189"/>
      <c r="K3" s="155"/>
      <c r="L3" s="155"/>
      <c r="M3" s="20" t="s">
        <v>33</v>
      </c>
      <c r="N3" s="20" t="s">
        <v>34</v>
      </c>
      <c r="O3" s="20" t="s">
        <v>35</v>
      </c>
      <c r="P3" s="20" t="s">
        <v>36</v>
      </c>
      <c r="Q3" s="189"/>
      <c r="R3" s="189"/>
      <c r="S3" s="138"/>
      <c r="T3" s="140"/>
      <c r="U3" s="49" t="s">
        <v>37</v>
      </c>
      <c r="V3" s="51" t="s">
        <v>38</v>
      </c>
      <c r="W3" s="50" t="s">
        <v>39</v>
      </c>
      <c r="X3" s="21" t="s">
        <v>40</v>
      </c>
      <c r="Y3" s="22" t="s">
        <v>41</v>
      </c>
      <c r="Z3" s="22" t="s">
        <v>42</v>
      </c>
      <c r="AA3" s="23" t="s">
        <v>43</v>
      </c>
      <c r="AB3" s="23" t="s">
        <v>44</v>
      </c>
      <c r="AC3" s="23" t="s">
        <v>40</v>
      </c>
      <c r="AD3" s="24" t="s">
        <v>45</v>
      </c>
      <c r="AE3" s="24" t="s">
        <v>46</v>
      </c>
      <c r="AF3" s="25" t="s">
        <v>47</v>
      </c>
      <c r="AG3" s="25" t="s">
        <v>48</v>
      </c>
      <c r="AH3" s="26" t="s">
        <v>49</v>
      </c>
      <c r="AI3" s="26" t="s">
        <v>50</v>
      </c>
      <c r="AJ3" s="189"/>
      <c r="AK3" s="189"/>
      <c r="AL3" s="189"/>
      <c r="AM3" s="189"/>
      <c r="AN3" s="167"/>
      <c r="AO3" s="167"/>
      <c r="AP3" s="189"/>
      <c r="AQ3" s="189"/>
      <c r="AR3" s="1" t="s">
        <v>51</v>
      </c>
      <c r="AS3" s="1" t="s">
        <v>52</v>
      </c>
      <c r="AT3" s="1"/>
      <c r="AU3" s="1"/>
      <c r="AV3" s="1"/>
      <c r="AW3" s="1"/>
      <c r="AX3" s="1"/>
      <c r="AY3" s="1"/>
      <c r="AZ3" s="1"/>
      <c r="BA3" s="1"/>
      <c r="BB3" s="1"/>
      <c r="BC3" s="1"/>
      <c r="BD3" s="1"/>
      <c r="BE3" s="1"/>
    </row>
    <row r="4" spans="1:57" ht="60.6" customHeight="1">
      <c r="A4" s="2" t="s">
        <v>53</v>
      </c>
      <c r="B4" s="2" t="s">
        <v>54</v>
      </c>
      <c r="C4" s="27" t="s">
        <v>55</v>
      </c>
      <c r="D4" s="79" t="s">
        <v>51</v>
      </c>
      <c r="E4" s="94" t="s">
        <v>56</v>
      </c>
      <c r="F4" s="79" t="s">
        <v>52</v>
      </c>
      <c r="G4" s="8" t="s">
        <v>57</v>
      </c>
      <c r="H4" s="46" t="s">
        <v>58</v>
      </c>
      <c r="I4" s="3" t="s">
        <v>59</v>
      </c>
      <c r="J4" s="27" t="s">
        <v>60</v>
      </c>
      <c r="K4" s="36"/>
      <c r="L4" s="36"/>
      <c r="M4" s="36"/>
      <c r="N4" s="36"/>
      <c r="O4" s="36"/>
      <c r="P4" s="36"/>
      <c r="Q4" s="36" t="s">
        <v>61</v>
      </c>
      <c r="R4" s="36"/>
      <c r="S4" s="36" t="s">
        <v>61</v>
      </c>
      <c r="T4" s="42"/>
      <c r="U4" s="42"/>
      <c r="V4" s="42"/>
      <c r="W4" s="36"/>
      <c r="X4" s="36"/>
      <c r="Y4" s="36"/>
      <c r="Z4" s="36"/>
      <c r="AA4" s="36"/>
      <c r="AB4" s="36"/>
      <c r="AC4" s="36"/>
      <c r="AD4" s="36"/>
      <c r="AE4" s="36"/>
      <c r="AF4" s="36"/>
      <c r="AG4" s="36"/>
      <c r="AH4" s="36"/>
      <c r="AI4" s="36"/>
      <c r="AJ4" s="38" t="s">
        <v>62</v>
      </c>
      <c r="AK4" s="4" t="s">
        <v>63</v>
      </c>
      <c r="AL4" s="5" t="s">
        <v>64</v>
      </c>
      <c r="AM4" s="109" t="s">
        <v>65</v>
      </c>
      <c r="AN4" s="125" t="s">
        <v>66</v>
      </c>
      <c r="AO4" s="125" t="s">
        <v>66</v>
      </c>
      <c r="AP4" s="4" t="s">
        <v>67</v>
      </c>
      <c r="AQ4" s="6"/>
      <c r="AR4" s="78" t="s">
        <v>68</v>
      </c>
      <c r="AS4" s="78" t="s">
        <v>69</v>
      </c>
      <c r="AT4" s="7"/>
      <c r="AU4" s="7"/>
      <c r="AV4" s="7"/>
      <c r="AW4" s="7"/>
      <c r="AX4" s="7"/>
      <c r="AY4" s="7"/>
      <c r="AZ4" s="7"/>
      <c r="BA4" s="7"/>
      <c r="BB4" s="7"/>
      <c r="BC4" s="7"/>
      <c r="BD4" s="7"/>
      <c r="BE4" s="7"/>
    </row>
    <row r="5" spans="1:57" ht="261.75" customHeight="1">
      <c r="A5" s="2" t="s">
        <v>70</v>
      </c>
      <c r="B5" s="2" t="s">
        <v>54</v>
      </c>
      <c r="C5" s="27" t="s">
        <v>55</v>
      </c>
      <c r="D5" s="79" t="s">
        <v>51</v>
      </c>
      <c r="E5" s="94" t="s">
        <v>56</v>
      </c>
      <c r="F5" s="79" t="s">
        <v>52</v>
      </c>
      <c r="G5" s="8" t="s">
        <v>71</v>
      </c>
      <c r="H5" s="46" t="s">
        <v>72</v>
      </c>
      <c r="I5" s="102" t="s">
        <v>73</v>
      </c>
      <c r="J5" s="27" t="s">
        <v>60</v>
      </c>
      <c r="K5" s="36" t="s">
        <v>61</v>
      </c>
      <c r="L5" s="36"/>
      <c r="M5" s="36"/>
      <c r="N5" s="36"/>
      <c r="O5" s="36"/>
      <c r="P5" s="36"/>
      <c r="Q5" s="36"/>
      <c r="R5" s="36"/>
      <c r="S5" s="36" t="s">
        <v>61</v>
      </c>
      <c r="T5" s="36"/>
      <c r="U5" s="36" t="s">
        <v>61</v>
      </c>
      <c r="V5" s="68"/>
      <c r="W5" s="36" t="s">
        <v>61</v>
      </c>
      <c r="X5" s="36"/>
      <c r="Y5" s="36" t="s">
        <v>61</v>
      </c>
      <c r="Z5" s="36"/>
      <c r="AA5" s="36" t="s">
        <v>61</v>
      </c>
      <c r="AB5" s="36" t="s">
        <v>61</v>
      </c>
      <c r="AC5" s="36" t="s">
        <v>61</v>
      </c>
      <c r="AD5" s="36" t="s">
        <v>61</v>
      </c>
      <c r="AE5" s="36"/>
      <c r="AF5" s="36" t="s">
        <v>61</v>
      </c>
      <c r="AG5" s="36"/>
      <c r="AH5" s="36" t="s">
        <v>61</v>
      </c>
      <c r="AI5" s="36" t="s">
        <v>61</v>
      </c>
      <c r="AJ5" s="38" t="s">
        <v>74</v>
      </c>
      <c r="AK5" s="4" t="s">
        <v>75</v>
      </c>
      <c r="AL5" s="5" t="s">
        <v>64</v>
      </c>
      <c r="AM5" s="109" t="s">
        <v>65</v>
      </c>
      <c r="AN5" s="125" t="s">
        <v>66</v>
      </c>
      <c r="AO5" s="125" t="s">
        <v>66</v>
      </c>
      <c r="AP5" s="4" t="s">
        <v>76</v>
      </c>
      <c r="AQ5" s="6"/>
      <c r="AR5" s="78" t="s">
        <v>68</v>
      </c>
      <c r="AS5" s="78" t="s">
        <v>69</v>
      </c>
      <c r="AT5" s="7"/>
      <c r="AU5" s="7"/>
      <c r="AV5" s="7"/>
      <c r="AW5" s="7"/>
      <c r="AX5" s="7"/>
      <c r="AY5" s="7"/>
      <c r="AZ5" s="7"/>
      <c r="BA5" s="7"/>
      <c r="BB5" s="7"/>
      <c r="BC5" s="7"/>
      <c r="BD5" s="7"/>
      <c r="BE5" s="7"/>
    </row>
    <row r="6" spans="1:57" ht="276.75" customHeight="1">
      <c r="A6" s="2" t="s">
        <v>77</v>
      </c>
      <c r="B6" s="2" t="s">
        <v>54</v>
      </c>
      <c r="C6" s="27" t="s">
        <v>55</v>
      </c>
      <c r="D6" s="107" t="s">
        <v>51</v>
      </c>
      <c r="E6" s="94" t="s">
        <v>56</v>
      </c>
      <c r="F6" s="79" t="s">
        <v>52</v>
      </c>
      <c r="G6" s="8" t="s">
        <v>78</v>
      </c>
      <c r="H6" s="46" t="s">
        <v>79</v>
      </c>
      <c r="I6" s="94" t="s">
        <v>80</v>
      </c>
      <c r="J6" s="27" t="s">
        <v>60</v>
      </c>
      <c r="K6" s="36"/>
      <c r="L6" s="36" t="s">
        <v>61</v>
      </c>
      <c r="M6" s="36"/>
      <c r="N6" s="36"/>
      <c r="O6" s="36"/>
      <c r="P6" s="36"/>
      <c r="Q6" s="36"/>
      <c r="R6" s="36"/>
      <c r="S6" s="36" t="s">
        <v>61</v>
      </c>
      <c r="T6" s="36"/>
      <c r="U6" s="36" t="s">
        <v>61</v>
      </c>
      <c r="V6" s="68"/>
      <c r="W6" s="36" t="s">
        <v>61</v>
      </c>
      <c r="X6" s="36"/>
      <c r="Y6" s="36" t="s">
        <v>61</v>
      </c>
      <c r="Z6" s="36"/>
      <c r="AA6" s="36" t="s">
        <v>61</v>
      </c>
      <c r="AB6" s="36" t="s">
        <v>61</v>
      </c>
      <c r="AC6" s="36" t="s">
        <v>61</v>
      </c>
      <c r="AD6" s="36" t="s">
        <v>61</v>
      </c>
      <c r="AE6" s="36"/>
      <c r="AF6" s="36" t="s">
        <v>61</v>
      </c>
      <c r="AG6" s="36"/>
      <c r="AH6" s="36" t="s">
        <v>61</v>
      </c>
      <c r="AI6" s="36" t="s">
        <v>61</v>
      </c>
      <c r="AJ6" s="38" t="s">
        <v>74</v>
      </c>
      <c r="AK6" s="4" t="s">
        <v>81</v>
      </c>
      <c r="AL6" s="5" t="s">
        <v>64</v>
      </c>
      <c r="AM6" s="109" t="s">
        <v>65</v>
      </c>
      <c r="AN6" s="125" t="s">
        <v>66</v>
      </c>
      <c r="AO6" s="125" t="s">
        <v>66</v>
      </c>
      <c r="AP6" s="4"/>
      <c r="AQ6" s="6"/>
      <c r="AR6" s="78" t="s">
        <v>82</v>
      </c>
      <c r="AS6" s="78" t="s">
        <v>83</v>
      </c>
      <c r="AT6" s="7"/>
      <c r="AU6" s="7"/>
      <c r="AV6" s="7"/>
      <c r="AW6" s="7"/>
      <c r="AX6" s="7"/>
      <c r="AY6" s="7"/>
      <c r="AZ6" s="7"/>
      <c r="BA6" s="7"/>
      <c r="BB6" s="7"/>
      <c r="BC6" s="7"/>
      <c r="BD6" s="7"/>
      <c r="BE6" s="7"/>
    </row>
    <row r="7" spans="1:57" ht="278.25" customHeight="1">
      <c r="A7" s="2" t="s">
        <v>84</v>
      </c>
      <c r="B7" s="2" t="s">
        <v>54</v>
      </c>
      <c r="C7" s="27" t="s">
        <v>55</v>
      </c>
      <c r="D7" s="107" t="s">
        <v>51</v>
      </c>
      <c r="E7" s="94" t="s">
        <v>56</v>
      </c>
      <c r="F7" s="79" t="s">
        <v>52</v>
      </c>
      <c r="G7" s="8" t="s">
        <v>78</v>
      </c>
      <c r="H7" s="92" t="s">
        <v>85</v>
      </c>
      <c r="I7" s="94" t="s">
        <v>86</v>
      </c>
      <c r="J7" s="27" t="s">
        <v>60</v>
      </c>
      <c r="K7" s="36"/>
      <c r="L7" s="36"/>
      <c r="M7" s="36" t="s">
        <v>61</v>
      </c>
      <c r="N7" s="36"/>
      <c r="O7" s="36"/>
      <c r="P7" s="36"/>
      <c r="Q7" s="36"/>
      <c r="R7" s="36"/>
      <c r="S7" s="36" t="s">
        <v>61</v>
      </c>
      <c r="T7" s="36"/>
      <c r="U7" s="36" t="s">
        <v>61</v>
      </c>
      <c r="V7" s="68"/>
      <c r="W7" s="36" t="s">
        <v>61</v>
      </c>
      <c r="X7" s="36"/>
      <c r="Y7" s="36" t="s">
        <v>61</v>
      </c>
      <c r="Z7" s="36"/>
      <c r="AA7" s="36" t="s">
        <v>61</v>
      </c>
      <c r="AB7" s="36" t="s">
        <v>61</v>
      </c>
      <c r="AC7" s="36" t="s">
        <v>61</v>
      </c>
      <c r="AD7" s="36" t="s">
        <v>61</v>
      </c>
      <c r="AE7" s="36"/>
      <c r="AF7" s="36" t="s">
        <v>61</v>
      </c>
      <c r="AG7" s="36"/>
      <c r="AH7" s="36" t="s">
        <v>61</v>
      </c>
      <c r="AI7" s="36" t="s">
        <v>61</v>
      </c>
      <c r="AJ7" s="38" t="s">
        <v>74</v>
      </c>
      <c r="AK7" s="4" t="s">
        <v>81</v>
      </c>
      <c r="AL7" s="5" t="s">
        <v>64</v>
      </c>
      <c r="AM7" s="109" t="s">
        <v>65</v>
      </c>
      <c r="AN7" s="125" t="s">
        <v>66</v>
      </c>
      <c r="AO7" s="125" t="s">
        <v>66</v>
      </c>
      <c r="AP7" s="4"/>
      <c r="AQ7" s="6"/>
      <c r="AR7" s="78" t="s">
        <v>87</v>
      </c>
      <c r="AS7" s="78" t="s">
        <v>88</v>
      </c>
      <c r="AT7" s="7"/>
      <c r="AU7" s="7"/>
      <c r="AV7" s="7"/>
      <c r="AW7" s="7"/>
      <c r="AX7" s="7"/>
      <c r="AY7" s="7"/>
      <c r="AZ7" s="7"/>
      <c r="BA7" s="7"/>
      <c r="BB7" s="7"/>
      <c r="BC7" s="7"/>
      <c r="BD7" s="7"/>
      <c r="BE7" s="7"/>
    </row>
    <row r="8" spans="1:57" s="91" customFormat="1" ht="276" customHeight="1">
      <c r="A8" s="88" t="s">
        <v>89</v>
      </c>
      <c r="B8" s="88" t="s">
        <v>54</v>
      </c>
      <c r="C8" s="80" t="s">
        <v>55</v>
      </c>
      <c r="D8" s="81"/>
      <c r="E8" s="81"/>
      <c r="F8" s="81"/>
      <c r="G8" s="81"/>
      <c r="H8" s="82" t="s">
        <v>90</v>
      </c>
      <c r="I8" s="103" t="s">
        <v>91</v>
      </c>
      <c r="J8" s="80" t="s">
        <v>60</v>
      </c>
      <c r="K8" s="84"/>
      <c r="L8" s="84"/>
      <c r="M8" s="84"/>
      <c r="N8" s="84" t="s">
        <v>61</v>
      </c>
      <c r="O8" s="84"/>
      <c r="P8" s="84"/>
      <c r="Q8" s="84"/>
      <c r="R8" s="84"/>
      <c r="S8" s="84" t="s">
        <v>61</v>
      </c>
      <c r="T8" s="84"/>
      <c r="U8" s="84" t="s">
        <v>61</v>
      </c>
      <c r="V8" s="84"/>
      <c r="W8" s="84" t="s">
        <v>61</v>
      </c>
      <c r="X8" s="84"/>
      <c r="Y8" s="84" t="s">
        <v>61</v>
      </c>
      <c r="Z8" s="84"/>
      <c r="AA8" s="84" t="s">
        <v>61</v>
      </c>
      <c r="AB8" s="84" t="s">
        <v>61</v>
      </c>
      <c r="AC8" s="84" t="s">
        <v>61</v>
      </c>
      <c r="AD8" s="84" t="s">
        <v>61</v>
      </c>
      <c r="AE8" s="84"/>
      <c r="AF8" s="84" t="s">
        <v>61</v>
      </c>
      <c r="AG8" s="84"/>
      <c r="AH8" s="84" t="s">
        <v>61</v>
      </c>
      <c r="AI8" s="84" t="s">
        <v>61</v>
      </c>
      <c r="AJ8" s="85" t="s">
        <v>74</v>
      </c>
      <c r="AK8" s="86" t="s">
        <v>81</v>
      </c>
      <c r="AL8" s="87" t="s">
        <v>64</v>
      </c>
      <c r="AM8" s="87"/>
      <c r="AN8" s="88" t="s">
        <v>92</v>
      </c>
      <c r="AO8" s="88" t="s">
        <v>92</v>
      </c>
      <c r="AP8" s="86" t="s">
        <v>93</v>
      </c>
      <c r="AQ8" s="89"/>
      <c r="AR8" s="90"/>
      <c r="AS8" s="90"/>
      <c r="AT8" s="90"/>
      <c r="AU8" s="90"/>
      <c r="AV8" s="90"/>
      <c r="AW8" s="90"/>
      <c r="AX8" s="90"/>
      <c r="AY8" s="90"/>
      <c r="AZ8" s="90"/>
      <c r="BA8" s="90"/>
      <c r="BB8" s="90"/>
      <c r="BC8" s="90"/>
      <c r="BD8" s="90"/>
      <c r="BE8" s="90"/>
    </row>
    <row r="9" spans="1:57" s="91" customFormat="1" ht="276.75" customHeight="1">
      <c r="A9" s="88" t="s">
        <v>94</v>
      </c>
      <c r="B9" s="88" t="s">
        <v>54</v>
      </c>
      <c r="C9" s="80" t="s">
        <v>55</v>
      </c>
      <c r="D9" s="81"/>
      <c r="E9" s="81"/>
      <c r="F9" s="81"/>
      <c r="G9" s="81"/>
      <c r="H9" s="82" t="s">
        <v>95</v>
      </c>
      <c r="I9" s="83" t="s">
        <v>96</v>
      </c>
      <c r="J9" s="80" t="s">
        <v>60</v>
      </c>
      <c r="K9" s="84"/>
      <c r="L9" s="84"/>
      <c r="M9" s="84"/>
      <c r="N9" s="84"/>
      <c r="O9" s="84" t="s">
        <v>61</v>
      </c>
      <c r="P9" s="84"/>
      <c r="Q9" s="84"/>
      <c r="R9" s="84"/>
      <c r="S9" s="84" t="s">
        <v>61</v>
      </c>
      <c r="T9" s="84"/>
      <c r="U9" s="84" t="s">
        <v>61</v>
      </c>
      <c r="V9" s="84"/>
      <c r="W9" s="84" t="s">
        <v>61</v>
      </c>
      <c r="X9" s="84"/>
      <c r="Y9" s="84" t="s">
        <v>61</v>
      </c>
      <c r="Z9" s="84"/>
      <c r="AA9" s="84" t="s">
        <v>61</v>
      </c>
      <c r="AB9" s="84" t="s">
        <v>61</v>
      </c>
      <c r="AC9" s="84" t="s">
        <v>61</v>
      </c>
      <c r="AD9" s="84" t="s">
        <v>61</v>
      </c>
      <c r="AE9" s="84"/>
      <c r="AF9" s="84" t="s">
        <v>61</v>
      </c>
      <c r="AG9" s="84"/>
      <c r="AH9" s="84" t="s">
        <v>61</v>
      </c>
      <c r="AI9" s="84" t="s">
        <v>61</v>
      </c>
      <c r="AJ9" s="85" t="s">
        <v>74</v>
      </c>
      <c r="AK9" s="86" t="s">
        <v>81</v>
      </c>
      <c r="AL9" s="87" t="s">
        <v>64</v>
      </c>
      <c r="AM9" s="87"/>
      <c r="AN9" s="88" t="s">
        <v>92</v>
      </c>
      <c r="AO9" s="88" t="s">
        <v>92</v>
      </c>
      <c r="AP9" s="86" t="s">
        <v>93</v>
      </c>
      <c r="AQ9" s="89"/>
      <c r="AR9" s="90"/>
      <c r="AS9" s="90"/>
      <c r="AT9" s="90"/>
      <c r="AU9" s="90"/>
      <c r="AV9" s="90"/>
      <c r="AW9" s="90"/>
      <c r="AX9" s="90"/>
      <c r="AY9" s="90"/>
      <c r="AZ9" s="90"/>
      <c r="BA9" s="90"/>
      <c r="BB9" s="90"/>
      <c r="BC9" s="90"/>
      <c r="BD9" s="90"/>
      <c r="BE9" s="90"/>
    </row>
    <row r="10" spans="1:57" ht="276" customHeight="1">
      <c r="A10" s="2" t="s">
        <v>97</v>
      </c>
      <c r="B10" s="2" t="s">
        <v>54</v>
      </c>
      <c r="C10" s="27" t="s">
        <v>55</v>
      </c>
      <c r="D10" s="107" t="s">
        <v>51</v>
      </c>
      <c r="E10" s="94" t="s">
        <v>56</v>
      </c>
      <c r="F10" s="79" t="s">
        <v>52</v>
      </c>
      <c r="G10" s="94" t="s">
        <v>98</v>
      </c>
      <c r="H10" s="46" t="s">
        <v>99</v>
      </c>
      <c r="I10" s="8" t="s">
        <v>100</v>
      </c>
      <c r="J10" s="27" t="s">
        <v>60</v>
      </c>
      <c r="K10" s="36"/>
      <c r="L10" s="36"/>
      <c r="M10" s="36"/>
      <c r="N10" s="36"/>
      <c r="O10" s="36"/>
      <c r="P10" s="36" t="s">
        <v>61</v>
      </c>
      <c r="Q10" s="36"/>
      <c r="R10" s="36"/>
      <c r="S10" s="36" t="s">
        <v>61</v>
      </c>
      <c r="T10" s="36"/>
      <c r="U10" s="36" t="s">
        <v>61</v>
      </c>
      <c r="V10" s="68"/>
      <c r="W10" s="36" t="s">
        <v>61</v>
      </c>
      <c r="X10" s="36"/>
      <c r="Y10" s="36" t="s">
        <v>61</v>
      </c>
      <c r="Z10" s="36"/>
      <c r="AA10" s="36" t="s">
        <v>61</v>
      </c>
      <c r="AB10" s="36" t="s">
        <v>61</v>
      </c>
      <c r="AC10" s="36" t="s">
        <v>61</v>
      </c>
      <c r="AD10" s="36" t="s">
        <v>61</v>
      </c>
      <c r="AE10" s="36"/>
      <c r="AF10" s="36" t="s">
        <v>61</v>
      </c>
      <c r="AG10" s="36"/>
      <c r="AH10" s="36" t="s">
        <v>61</v>
      </c>
      <c r="AI10" s="36" t="s">
        <v>61</v>
      </c>
      <c r="AJ10" s="38" t="s">
        <v>74</v>
      </c>
      <c r="AK10" s="4" t="s">
        <v>101</v>
      </c>
      <c r="AL10" s="5" t="s">
        <v>64</v>
      </c>
      <c r="AM10" s="109" t="s">
        <v>65</v>
      </c>
      <c r="AN10" s="125" t="s">
        <v>66</v>
      </c>
      <c r="AO10" s="125" t="s">
        <v>66</v>
      </c>
      <c r="AP10" s="4" t="s">
        <v>102</v>
      </c>
      <c r="AQ10" s="6"/>
      <c r="AR10" s="96" t="s">
        <v>103</v>
      </c>
      <c r="AS10" s="96" t="s">
        <v>104</v>
      </c>
      <c r="AT10" s="7"/>
      <c r="AU10" s="7"/>
      <c r="AV10" s="7"/>
      <c r="AW10" s="7"/>
      <c r="AX10" s="7"/>
      <c r="AY10" s="7"/>
      <c r="AZ10" s="7"/>
      <c r="BA10" s="7"/>
      <c r="BB10" s="7"/>
      <c r="BC10" s="7"/>
      <c r="BD10" s="7"/>
      <c r="BE10" s="7"/>
    </row>
    <row r="11" spans="1:57" s="67" customFormat="1" ht="12.75" customHeight="1">
      <c r="A11" s="65"/>
      <c r="B11" s="65"/>
      <c r="D11" s="76"/>
      <c r="E11" s="76"/>
      <c r="F11" s="76"/>
      <c r="G11" s="76"/>
      <c r="H11" s="77"/>
      <c r="I11" s="54"/>
      <c r="J11" s="55"/>
      <c r="K11" s="56"/>
      <c r="L11" s="56"/>
      <c r="M11" s="56"/>
      <c r="N11" s="56"/>
      <c r="O11" s="56"/>
      <c r="P11" s="56"/>
      <c r="Q11" s="56"/>
      <c r="R11" s="56"/>
      <c r="S11" s="56"/>
      <c r="T11" s="56"/>
      <c r="U11" s="56"/>
      <c r="V11" s="56"/>
      <c r="W11" s="56"/>
      <c r="X11" s="56"/>
      <c r="Y11" s="56"/>
      <c r="Z11" s="57"/>
      <c r="AA11" s="58"/>
      <c r="AB11" s="58"/>
      <c r="AC11" s="58"/>
      <c r="AD11" s="58"/>
      <c r="AE11" s="58"/>
      <c r="AF11" s="58"/>
      <c r="AG11" s="58"/>
      <c r="AH11" s="58"/>
      <c r="AI11" s="58"/>
      <c r="AJ11" s="59"/>
      <c r="AK11" s="60"/>
      <c r="AL11" s="61"/>
      <c r="AM11" s="61"/>
      <c r="AN11" s="62"/>
      <c r="AO11" s="63"/>
      <c r="AP11" s="64"/>
      <c r="AQ11" s="65"/>
      <c r="AR11" s="66"/>
      <c r="AS11" s="66"/>
      <c r="AT11" s="66"/>
      <c r="AU11" s="66"/>
      <c r="AV11" s="66"/>
      <c r="AW11" s="66"/>
      <c r="AX11" s="66"/>
      <c r="AY11" s="66"/>
      <c r="AZ11" s="66"/>
      <c r="BA11" s="66"/>
      <c r="BB11" s="66"/>
      <c r="BC11" s="66"/>
      <c r="BD11" s="66"/>
      <c r="BE11" s="66"/>
    </row>
    <row r="12" spans="1:57" ht="63.75" customHeight="1">
      <c r="A12" s="2" t="s">
        <v>105</v>
      </c>
      <c r="B12" s="2" t="s">
        <v>54</v>
      </c>
      <c r="C12" s="27" t="s">
        <v>106</v>
      </c>
      <c r="D12" s="107" t="s">
        <v>51</v>
      </c>
      <c r="E12" s="94" t="s">
        <v>56</v>
      </c>
      <c r="F12" s="186" t="s">
        <v>52</v>
      </c>
      <c r="G12" s="94" t="s">
        <v>107</v>
      </c>
      <c r="H12" s="46" t="s">
        <v>108</v>
      </c>
      <c r="I12" s="8" t="s">
        <v>109</v>
      </c>
      <c r="J12" s="27" t="s">
        <v>60</v>
      </c>
      <c r="K12" s="68"/>
      <c r="L12" s="68"/>
      <c r="M12" s="68"/>
      <c r="N12" s="68"/>
      <c r="O12" s="68"/>
      <c r="P12" s="68"/>
      <c r="Q12" s="36" t="s">
        <v>61</v>
      </c>
      <c r="R12" s="36"/>
      <c r="S12" s="36"/>
      <c r="T12" s="36" t="s">
        <v>61</v>
      </c>
      <c r="U12" s="42"/>
      <c r="V12" s="42"/>
      <c r="W12" s="36"/>
      <c r="X12" s="36"/>
      <c r="Y12" s="36"/>
      <c r="Z12" s="36"/>
      <c r="AA12" s="36"/>
      <c r="AB12" s="36"/>
      <c r="AC12" s="36"/>
      <c r="AD12" s="36"/>
      <c r="AE12" s="36"/>
      <c r="AF12" s="36"/>
      <c r="AG12" s="36"/>
      <c r="AH12" s="36"/>
      <c r="AI12" s="36"/>
      <c r="AJ12" s="39" t="s">
        <v>110</v>
      </c>
      <c r="AK12" s="4" t="s">
        <v>63</v>
      </c>
      <c r="AL12" s="5" t="s">
        <v>64</v>
      </c>
      <c r="AM12" s="109" t="s">
        <v>65</v>
      </c>
      <c r="AN12" s="125" t="s">
        <v>66</v>
      </c>
      <c r="AO12" s="125" t="s">
        <v>66</v>
      </c>
      <c r="AP12" s="4"/>
      <c r="AQ12" s="6"/>
      <c r="AR12" s="96" t="s">
        <v>111</v>
      </c>
      <c r="AS12" s="96" t="s">
        <v>112</v>
      </c>
      <c r="AT12" s="7"/>
      <c r="AU12" s="7"/>
      <c r="AV12" s="7"/>
      <c r="AW12" s="7"/>
      <c r="AX12" s="7"/>
      <c r="AY12" s="7"/>
      <c r="AZ12" s="7"/>
      <c r="BA12" s="7"/>
      <c r="BB12" s="7"/>
      <c r="BC12" s="7"/>
      <c r="BD12" s="7"/>
      <c r="BE12" s="7"/>
    </row>
    <row r="13" spans="1:57" ht="277.5" customHeight="1">
      <c r="A13" s="2" t="s">
        <v>105</v>
      </c>
      <c r="B13" s="2" t="s">
        <v>54</v>
      </c>
      <c r="C13" s="111" t="s">
        <v>106</v>
      </c>
      <c r="D13" s="108" t="s">
        <v>51</v>
      </c>
      <c r="E13" s="184" t="s">
        <v>56</v>
      </c>
      <c r="F13" s="187" t="s">
        <v>52</v>
      </c>
      <c r="G13" s="185" t="s">
        <v>113</v>
      </c>
      <c r="H13" s="112" t="s">
        <v>114</v>
      </c>
      <c r="I13" s="113" t="s">
        <v>115</v>
      </c>
      <c r="J13" s="111" t="s">
        <v>60</v>
      </c>
      <c r="K13" s="114"/>
      <c r="L13" s="114"/>
      <c r="M13" s="114"/>
      <c r="N13" s="114"/>
      <c r="O13" s="114"/>
      <c r="P13" s="114"/>
      <c r="Q13" s="114"/>
      <c r="R13" s="114"/>
      <c r="S13" s="114"/>
      <c r="T13" s="114" t="s">
        <v>61</v>
      </c>
      <c r="U13" s="114" t="s">
        <v>61</v>
      </c>
      <c r="V13" s="114" t="s">
        <v>61</v>
      </c>
      <c r="W13" s="151" t="s">
        <v>61</v>
      </c>
      <c r="X13" s="152"/>
      <c r="Y13" s="114" t="s">
        <v>61</v>
      </c>
      <c r="Z13" s="114" t="s">
        <v>61</v>
      </c>
      <c r="AA13" s="114" t="s">
        <v>61</v>
      </c>
      <c r="AB13" s="114" t="s">
        <v>61</v>
      </c>
      <c r="AC13" s="114" t="s">
        <v>61</v>
      </c>
      <c r="AD13" s="114" t="s">
        <v>61</v>
      </c>
      <c r="AE13" s="114" t="s">
        <v>61</v>
      </c>
      <c r="AF13" s="114" t="s">
        <v>61</v>
      </c>
      <c r="AG13" s="114" t="s">
        <v>61</v>
      </c>
      <c r="AH13" s="114" t="s">
        <v>61</v>
      </c>
      <c r="AI13" s="114" t="s">
        <v>61</v>
      </c>
      <c r="AJ13" s="115" t="s">
        <v>116</v>
      </c>
      <c r="AK13" s="116" t="s">
        <v>117</v>
      </c>
      <c r="AL13" s="117" t="s">
        <v>64</v>
      </c>
      <c r="AM13" s="118" t="s">
        <v>65</v>
      </c>
      <c r="AN13" s="125" t="s">
        <v>66</v>
      </c>
      <c r="AO13" s="125" t="s">
        <v>66</v>
      </c>
      <c r="AP13" s="4" t="s">
        <v>118</v>
      </c>
      <c r="AQ13" s="6"/>
      <c r="AR13" s="96" t="s">
        <v>111</v>
      </c>
      <c r="AS13" s="96" t="s">
        <v>119</v>
      </c>
      <c r="AT13" s="7"/>
      <c r="AU13" s="7"/>
      <c r="AV13" s="7"/>
      <c r="AW13" s="7"/>
      <c r="AX13" s="7"/>
      <c r="AY13" s="7"/>
      <c r="AZ13" s="7"/>
      <c r="BA13" s="7"/>
      <c r="BB13" s="7"/>
      <c r="BC13" s="7"/>
      <c r="BD13" s="7"/>
      <c r="BE13" s="7"/>
    </row>
    <row r="14" spans="1:57" s="67" customFormat="1" ht="20.25" customHeight="1">
      <c r="A14" s="65"/>
      <c r="B14" s="65"/>
      <c r="C14" s="52"/>
      <c r="D14" s="75"/>
      <c r="E14" s="75"/>
      <c r="F14" s="75"/>
      <c r="G14" s="75"/>
      <c r="H14" s="53"/>
      <c r="I14" s="54"/>
      <c r="J14" s="55"/>
      <c r="K14" s="56"/>
      <c r="L14" s="56"/>
      <c r="M14" s="56"/>
      <c r="N14" s="56"/>
      <c r="O14" s="56"/>
      <c r="P14" s="56"/>
      <c r="Q14" s="56"/>
      <c r="R14" s="56"/>
      <c r="S14" s="56"/>
      <c r="T14" s="56"/>
      <c r="U14" s="56"/>
      <c r="V14" s="56"/>
      <c r="W14" s="56"/>
      <c r="X14" s="56"/>
      <c r="Y14" s="56"/>
      <c r="Z14" s="57"/>
      <c r="AA14" s="58"/>
      <c r="AB14" s="58"/>
      <c r="AC14" s="58"/>
      <c r="AD14" s="58"/>
      <c r="AE14" s="58"/>
      <c r="AF14" s="58"/>
      <c r="AG14" s="58"/>
      <c r="AH14" s="58"/>
      <c r="AI14" s="58"/>
      <c r="AJ14" s="59"/>
      <c r="AK14" s="60"/>
      <c r="AL14" s="61"/>
      <c r="AM14" s="61"/>
      <c r="AN14" s="62"/>
      <c r="AO14" s="63"/>
      <c r="AP14" s="64"/>
      <c r="AQ14" s="65"/>
      <c r="AR14" s="66"/>
      <c r="AS14" s="66"/>
      <c r="AT14" s="66"/>
      <c r="AU14" s="66"/>
      <c r="AV14" s="66"/>
      <c r="AW14" s="66"/>
      <c r="AX14" s="66"/>
      <c r="AY14" s="66"/>
      <c r="AZ14" s="66"/>
      <c r="BA14" s="66"/>
      <c r="BB14" s="66"/>
      <c r="BC14" s="66"/>
      <c r="BD14" s="66"/>
      <c r="BE14" s="66"/>
    </row>
    <row r="15" spans="1:57" ht="54" customHeight="1">
      <c r="A15" s="2" t="s">
        <v>105</v>
      </c>
      <c r="B15" s="2" t="s">
        <v>54</v>
      </c>
      <c r="C15" s="27" t="s">
        <v>120</v>
      </c>
      <c r="D15" s="105" t="s">
        <v>51</v>
      </c>
      <c r="E15" s="104" t="s">
        <v>121</v>
      </c>
      <c r="F15" s="79" t="s">
        <v>52</v>
      </c>
      <c r="G15" s="94" t="s">
        <v>122</v>
      </c>
      <c r="H15" s="46" t="s">
        <v>123</v>
      </c>
      <c r="I15" s="46" t="s">
        <v>124</v>
      </c>
      <c r="J15" s="47" t="s">
        <v>60</v>
      </c>
      <c r="K15" s="36"/>
      <c r="L15" s="36"/>
      <c r="M15" s="36"/>
      <c r="N15" s="36"/>
      <c r="O15" s="36"/>
      <c r="P15" s="36"/>
      <c r="Q15" s="36"/>
      <c r="R15" s="36"/>
      <c r="S15" s="36"/>
      <c r="T15" s="36"/>
      <c r="U15" s="36"/>
      <c r="V15" s="36"/>
      <c r="W15" s="36"/>
      <c r="X15" s="36"/>
      <c r="Y15" s="36"/>
      <c r="Z15" s="48" t="s">
        <v>61</v>
      </c>
      <c r="AA15" s="36"/>
      <c r="AB15" s="36"/>
      <c r="AC15" s="36"/>
      <c r="AD15" s="36"/>
      <c r="AE15" s="36"/>
      <c r="AF15" s="36"/>
      <c r="AG15" s="36"/>
      <c r="AH15" s="36"/>
      <c r="AI15" s="36"/>
      <c r="AJ15" s="43" t="s">
        <v>125</v>
      </c>
      <c r="AK15" s="8" t="s">
        <v>126</v>
      </c>
      <c r="AL15" s="5" t="s">
        <v>64</v>
      </c>
      <c r="AM15" s="109" t="s">
        <v>65</v>
      </c>
      <c r="AN15" s="125" t="s">
        <v>66</v>
      </c>
      <c r="AO15" s="126" t="s">
        <v>66</v>
      </c>
      <c r="AP15" s="4"/>
      <c r="AQ15" s="6"/>
      <c r="AR15" s="78" t="s">
        <v>68</v>
      </c>
      <c r="AS15" s="78" t="s">
        <v>112</v>
      </c>
      <c r="AT15" s="7"/>
      <c r="AU15" s="7"/>
      <c r="AV15" s="7"/>
      <c r="AW15" s="7"/>
      <c r="AX15" s="7"/>
      <c r="AY15" s="7"/>
      <c r="AZ15" s="7"/>
      <c r="BA15" s="7"/>
      <c r="BB15" s="7"/>
      <c r="BC15" s="7"/>
      <c r="BD15" s="7"/>
      <c r="BE15" s="7"/>
    </row>
    <row r="16" spans="1:57" ht="57" customHeight="1">
      <c r="A16" s="2" t="s">
        <v>105</v>
      </c>
      <c r="B16" s="2" t="s">
        <v>54</v>
      </c>
      <c r="C16" s="27" t="s">
        <v>120</v>
      </c>
      <c r="D16" s="105" t="s">
        <v>51</v>
      </c>
      <c r="E16" s="104" t="s">
        <v>127</v>
      </c>
      <c r="F16" s="79" t="s">
        <v>52</v>
      </c>
      <c r="G16" s="94" t="s">
        <v>128</v>
      </c>
      <c r="H16" s="46" t="s">
        <v>129</v>
      </c>
      <c r="I16" s="35" t="s">
        <v>130</v>
      </c>
      <c r="J16" s="41" t="s">
        <v>131</v>
      </c>
      <c r="K16" s="42"/>
      <c r="L16" s="42"/>
      <c r="M16" s="42"/>
      <c r="N16" s="42"/>
      <c r="O16" s="42"/>
      <c r="P16" s="42"/>
      <c r="Q16" s="42"/>
      <c r="R16" s="42"/>
      <c r="S16" s="36"/>
      <c r="T16" s="42"/>
      <c r="U16" s="42"/>
      <c r="V16" s="42"/>
      <c r="W16" s="42"/>
      <c r="X16" s="42"/>
      <c r="Y16" s="42"/>
      <c r="Z16" s="42" t="s">
        <v>61</v>
      </c>
      <c r="AA16" s="42"/>
      <c r="AB16" s="42"/>
      <c r="AC16" s="42"/>
      <c r="AD16" s="42"/>
      <c r="AE16" s="42"/>
      <c r="AF16" s="42"/>
      <c r="AG16" s="42"/>
      <c r="AH16" s="42"/>
      <c r="AI16" s="42"/>
      <c r="AJ16" s="43" t="s">
        <v>132</v>
      </c>
      <c r="AK16" s="44" t="s">
        <v>133</v>
      </c>
      <c r="AL16" s="45" t="s">
        <v>64</v>
      </c>
      <c r="AM16" s="109" t="s">
        <v>65</v>
      </c>
      <c r="AN16" s="127" t="s">
        <v>66</v>
      </c>
      <c r="AO16" s="125" t="s">
        <v>66</v>
      </c>
      <c r="AP16" s="4"/>
      <c r="AQ16" s="6"/>
      <c r="AR16" s="78" t="s">
        <v>68</v>
      </c>
      <c r="AS16" s="78" t="s">
        <v>112</v>
      </c>
      <c r="AT16" s="7"/>
      <c r="AU16" s="7"/>
      <c r="AV16" s="7"/>
      <c r="AW16" s="7"/>
      <c r="AX16" s="7"/>
      <c r="AY16" s="7"/>
      <c r="AZ16" s="7"/>
      <c r="BA16" s="7"/>
      <c r="BB16" s="7"/>
      <c r="BC16" s="7"/>
      <c r="BD16" s="7"/>
      <c r="BE16" s="7"/>
    </row>
    <row r="17" spans="1:57" ht="63" customHeight="1">
      <c r="A17" s="2" t="s">
        <v>105</v>
      </c>
      <c r="B17" s="2" t="s">
        <v>54</v>
      </c>
      <c r="C17" s="27" t="s">
        <v>120</v>
      </c>
      <c r="D17" s="105" t="s">
        <v>51</v>
      </c>
      <c r="E17" s="104" t="s">
        <v>134</v>
      </c>
      <c r="F17" s="79" t="s">
        <v>52</v>
      </c>
      <c r="G17" s="94" t="s">
        <v>135</v>
      </c>
      <c r="H17" s="46" t="s">
        <v>136</v>
      </c>
      <c r="I17" s="10" t="s">
        <v>137</v>
      </c>
      <c r="J17" s="27" t="s">
        <v>60</v>
      </c>
      <c r="K17" s="36"/>
      <c r="L17" s="36"/>
      <c r="M17" s="36"/>
      <c r="N17" s="36"/>
      <c r="O17" s="36"/>
      <c r="P17" s="36"/>
      <c r="Q17" s="36"/>
      <c r="R17" s="36"/>
      <c r="S17" s="36"/>
      <c r="T17" s="36"/>
      <c r="U17" s="36"/>
      <c r="V17" s="36"/>
      <c r="W17" s="36"/>
      <c r="X17" s="36"/>
      <c r="Y17" s="36"/>
      <c r="Z17" s="36" t="s">
        <v>61</v>
      </c>
      <c r="AA17" s="36"/>
      <c r="AB17" s="36"/>
      <c r="AC17" s="36"/>
      <c r="AD17" s="36"/>
      <c r="AE17" s="36"/>
      <c r="AF17" s="36"/>
      <c r="AG17" s="36"/>
      <c r="AH17" s="36"/>
      <c r="AI17" s="36"/>
      <c r="AJ17" s="38" t="s">
        <v>138</v>
      </c>
      <c r="AK17" s="8" t="s">
        <v>139</v>
      </c>
      <c r="AL17" s="5" t="s">
        <v>64</v>
      </c>
      <c r="AM17" s="109" t="s">
        <v>65</v>
      </c>
      <c r="AN17" s="125" t="s">
        <v>66</v>
      </c>
      <c r="AO17" s="125" t="s">
        <v>66</v>
      </c>
      <c r="AP17" s="4"/>
      <c r="AQ17" s="6"/>
      <c r="AR17" s="7"/>
      <c r="AS17" s="78" t="s">
        <v>112</v>
      </c>
      <c r="AT17" s="7"/>
      <c r="AU17" s="7"/>
      <c r="AV17" s="7"/>
      <c r="AW17" s="7"/>
      <c r="AX17" s="7"/>
      <c r="AY17" s="7"/>
      <c r="AZ17" s="7"/>
      <c r="BA17" s="7"/>
      <c r="BB17" s="7"/>
      <c r="BC17" s="7"/>
      <c r="BD17" s="7"/>
      <c r="BE17" s="7"/>
    </row>
    <row r="18" spans="1:57" ht="71.25" customHeight="1">
      <c r="A18" s="2" t="s">
        <v>105</v>
      </c>
      <c r="B18" s="2" t="s">
        <v>54</v>
      </c>
      <c r="C18" s="27" t="s">
        <v>120</v>
      </c>
      <c r="D18" s="105" t="s">
        <v>51</v>
      </c>
      <c r="E18" s="104" t="s">
        <v>140</v>
      </c>
      <c r="F18" s="79" t="s">
        <v>52</v>
      </c>
      <c r="G18" s="94" t="s">
        <v>141</v>
      </c>
      <c r="H18" s="46" t="s">
        <v>142</v>
      </c>
      <c r="I18" s="10" t="s">
        <v>143</v>
      </c>
      <c r="J18" s="37" t="s">
        <v>131</v>
      </c>
      <c r="K18" s="36"/>
      <c r="L18" s="36"/>
      <c r="M18" s="36"/>
      <c r="N18" s="36"/>
      <c r="O18" s="36"/>
      <c r="P18" s="36"/>
      <c r="Q18" s="36"/>
      <c r="R18" s="36"/>
      <c r="S18" s="36"/>
      <c r="T18" s="36"/>
      <c r="U18" s="36"/>
      <c r="V18" s="36"/>
      <c r="W18" s="36"/>
      <c r="X18" s="36"/>
      <c r="Y18" s="36"/>
      <c r="Z18" s="36" t="s">
        <v>61</v>
      </c>
      <c r="AA18" s="36"/>
      <c r="AB18" s="36"/>
      <c r="AC18" s="36"/>
      <c r="AD18" s="36"/>
      <c r="AE18" s="36"/>
      <c r="AF18" s="36"/>
      <c r="AG18" s="36"/>
      <c r="AH18" s="36"/>
      <c r="AI18" s="36"/>
      <c r="AJ18" s="38" t="s">
        <v>144</v>
      </c>
      <c r="AK18" s="8" t="s">
        <v>145</v>
      </c>
      <c r="AL18" s="5" t="s">
        <v>64</v>
      </c>
      <c r="AM18" s="109" t="s">
        <v>65</v>
      </c>
      <c r="AN18" s="125" t="s">
        <v>66</v>
      </c>
      <c r="AO18" s="125" t="s">
        <v>66</v>
      </c>
      <c r="AP18" s="4"/>
      <c r="AQ18" s="6"/>
      <c r="AR18" s="7"/>
      <c r="AS18" s="78" t="s">
        <v>112</v>
      </c>
      <c r="AT18" s="7"/>
      <c r="AU18" s="7"/>
      <c r="AV18" s="7"/>
      <c r="AW18" s="7"/>
      <c r="AX18" s="7"/>
      <c r="AY18" s="7"/>
      <c r="AZ18" s="7"/>
      <c r="BA18" s="7"/>
      <c r="BB18" s="7"/>
      <c r="BC18" s="7"/>
      <c r="BD18" s="7"/>
      <c r="BE18" s="7"/>
    </row>
    <row r="19" spans="1:57" ht="59.25" customHeight="1">
      <c r="A19" s="2" t="s">
        <v>105</v>
      </c>
      <c r="B19" s="2" t="s">
        <v>54</v>
      </c>
      <c r="C19" s="27" t="s">
        <v>120</v>
      </c>
      <c r="D19" s="107" t="s">
        <v>51</v>
      </c>
      <c r="E19" s="104" t="s">
        <v>56</v>
      </c>
      <c r="F19" s="79" t="s">
        <v>52</v>
      </c>
      <c r="G19" s="94" t="s">
        <v>146</v>
      </c>
      <c r="H19" s="46" t="s">
        <v>147</v>
      </c>
      <c r="I19" s="10" t="s">
        <v>148</v>
      </c>
      <c r="J19" s="37" t="s">
        <v>131</v>
      </c>
      <c r="K19" s="36"/>
      <c r="L19" s="36"/>
      <c r="M19" s="36"/>
      <c r="N19" s="36"/>
      <c r="O19" s="36"/>
      <c r="P19" s="36"/>
      <c r="Q19" s="36"/>
      <c r="R19" s="36"/>
      <c r="S19" s="36"/>
      <c r="T19" s="36"/>
      <c r="U19" s="36"/>
      <c r="V19" s="36"/>
      <c r="W19" s="36"/>
      <c r="X19" s="36"/>
      <c r="Y19" s="36"/>
      <c r="Z19" s="36" t="s">
        <v>61</v>
      </c>
      <c r="AA19" s="36"/>
      <c r="AB19" s="36"/>
      <c r="AC19" s="36"/>
      <c r="AD19" s="36"/>
      <c r="AE19" s="36"/>
      <c r="AF19" s="36"/>
      <c r="AG19" s="36"/>
      <c r="AH19" s="36"/>
      <c r="AI19" s="36"/>
      <c r="AJ19" s="38" t="s">
        <v>149</v>
      </c>
      <c r="AK19" s="8" t="s">
        <v>150</v>
      </c>
      <c r="AL19" s="5" t="s">
        <v>64</v>
      </c>
      <c r="AM19" s="109" t="s">
        <v>65</v>
      </c>
      <c r="AN19" s="125" t="s">
        <v>66</v>
      </c>
      <c r="AO19" s="125" t="s">
        <v>66</v>
      </c>
      <c r="AP19" s="4"/>
      <c r="AQ19" s="6"/>
      <c r="AR19" s="7"/>
      <c r="AS19" s="96" t="s">
        <v>151</v>
      </c>
      <c r="AT19" s="7"/>
      <c r="AU19" s="7"/>
      <c r="AV19" s="7"/>
      <c r="AW19" s="7"/>
      <c r="AX19" s="7"/>
      <c r="AY19" s="7"/>
      <c r="AZ19" s="7"/>
      <c r="BA19" s="7"/>
      <c r="BB19" s="7"/>
      <c r="BC19" s="7"/>
      <c r="BD19" s="7"/>
      <c r="BE19" s="7"/>
    </row>
    <row r="20" spans="1:57" ht="99" customHeight="1">
      <c r="A20" s="2" t="s">
        <v>105</v>
      </c>
      <c r="B20" s="2" t="s">
        <v>54</v>
      </c>
      <c r="C20" s="27" t="s">
        <v>120</v>
      </c>
      <c r="D20" s="106"/>
      <c r="E20" s="104"/>
      <c r="F20" s="79" t="s">
        <v>52</v>
      </c>
      <c r="G20" s="94" t="s">
        <v>152</v>
      </c>
      <c r="H20" s="92" t="s">
        <v>153</v>
      </c>
      <c r="I20" s="93" t="s">
        <v>154</v>
      </c>
      <c r="J20" s="37" t="s">
        <v>131</v>
      </c>
      <c r="K20" s="36"/>
      <c r="L20" s="36"/>
      <c r="M20" s="36"/>
      <c r="N20" s="36"/>
      <c r="O20" s="36"/>
      <c r="P20" s="36"/>
      <c r="Q20" s="36"/>
      <c r="R20" s="36"/>
      <c r="S20" s="36"/>
      <c r="T20" s="36"/>
      <c r="U20" s="36"/>
      <c r="V20" s="36"/>
      <c r="W20" s="36"/>
      <c r="X20" s="36"/>
      <c r="Y20" s="36"/>
      <c r="Z20" s="36" t="s">
        <v>61</v>
      </c>
      <c r="AA20" s="36"/>
      <c r="AB20" s="36"/>
      <c r="AC20" s="36"/>
      <c r="AD20" s="36"/>
      <c r="AE20" s="36"/>
      <c r="AF20" s="36"/>
      <c r="AG20" s="36"/>
      <c r="AH20" s="36"/>
      <c r="AI20" s="36"/>
      <c r="AJ20" s="38" t="s">
        <v>155</v>
      </c>
      <c r="AK20" s="8" t="s">
        <v>156</v>
      </c>
      <c r="AL20" s="5" t="s">
        <v>64</v>
      </c>
      <c r="AM20" s="109" t="s">
        <v>65</v>
      </c>
      <c r="AN20" s="95" t="s">
        <v>92</v>
      </c>
      <c r="AO20" s="125" t="s">
        <v>66</v>
      </c>
      <c r="AP20" s="4"/>
      <c r="AQ20" s="6"/>
      <c r="AR20" s="7"/>
      <c r="AS20" s="96" t="s">
        <v>151</v>
      </c>
      <c r="AT20" s="7"/>
      <c r="AU20" s="7"/>
      <c r="AV20" s="7"/>
      <c r="AW20" s="7"/>
      <c r="AX20" s="7"/>
      <c r="AY20" s="7"/>
      <c r="AZ20" s="7"/>
      <c r="BA20" s="7"/>
      <c r="BB20" s="7"/>
      <c r="BC20" s="7"/>
      <c r="BD20" s="7"/>
      <c r="BE20" s="7"/>
    </row>
    <row r="21" spans="1:57" ht="102" customHeight="1">
      <c r="A21" s="2" t="s">
        <v>105</v>
      </c>
      <c r="B21" s="2" t="s">
        <v>54</v>
      </c>
      <c r="C21" s="27" t="s">
        <v>120</v>
      </c>
      <c r="D21" s="106"/>
      <c r="E21" s="104"/>
      <c r="F21" s="79" t="s">
        <v>52</v>
      </c>
      <c r="G21" s="94" t="s">
        <v>157</v>
      </c>
      <c r="H21" s="46" t="s">
        <v>158</v>
      </c>
      <c r="I21" s="93" t="s">
        <v>159</v>
      </c>
      <c r="J21" s="37" t="s">
        <v>131</v>
      </c>
      <c r="K21" s="36"/>
      <c r="L21" s="36"/>
      <c r="M21" s="36"/>
      <c r="N21" s="36"/>
      <c r="O21" s="36"/>
      <c r="P21" s="36"/>
      <c r="Q21" s="36"/>
      <c r="R21" s="36"/>
      <c r="S21" s="36"/>
      <c r="T21" s="36"/>
      <c r="U21" s="36"/>
      <c r="V21" s="36"/>
      <c r="W21" s="36"/>
      <c r="X21" s="36"/>
      <c r="Y21" s="36"/>
      <c r="Z21" s="36" t="s">
        <v>61</v>
      </c>
      <c r="AA21" s="36"/>
      <c r="AB21" s="36"/>
      <c r="AC21" s="36"/>
      <c r="AD21" s="36"/>
      <c r="AE21" s="36"/>
      <c r="AF21" s="36"/>
      <c r="AG21" s="36"/>
      <c r="AH21" s="36"/>
      <c r="AI21" s="36"/>
      <c r="AJ21" s="38" t="s">
        <v>160</v>
      </c>
      <c r="AK21" s="8" t="s">
        <v>161</v>
      </c>
      <c r="AL21" s="5" t="s">
        <v>64</v>
      </c>
      <c r="AM21" s="109" t="s">
        <v>65</v>
      </c>
      <c r="AN21" s="95" t="s">
        <v>92</v>
      </c>
      <c r="AO21" s="125" t="s">
        <v>66</v>
      </c>
      <c r="AP21" s="4"/>
      <c r="AQ21" s="6"/>
      <c r="AR21" s="7"/>
      <c r="AS21" s="96" t="s">
        <v>151</v>
      </c>
      <c r="AT21" s="7"/>
      <c r="AU21" s="7"/>
      <c r="AV21" s="7"/>
      <c r="AW21" s="7"/>
      <c r="AX21" s="7"/>
      <c r="AY21" s="7"/>
      <c r="AZ21" s="7"/>
      <c r="BA21" s="7"/>
      <c r="BB21" s="7"/>
      <c r="BC21" s="7"/>
      <c r="BD21" s="7"/>
      <c r="BE21" s="7"/>
    </row>
    <row r="22" spans="1:57" ht="99.75" customHeight="1">
      <c r="A22" s="2" t="s">
        <v>105</v>
      </c>
      <c r="B22" s="2" t="s">
        <v>54</v>
      </c>
      <c r="C22" s="27" t="s">
        <v>120</v>
      </c>
      <c r="D22" s="106"/>
      <c r="E22" s="104"/>
      <c r="F22" s="79" t="s">
        <v>52</v>
      </c>
      <c r="G22" s="94" t="s">
        <v>162</v>
      </c>
      <c r="H22" s="46" t="s">
        <v>163</v>
      </c>
      <c r="I22" s="93" t="s">
        <v>164</v>
      </c>
      <c r="J22" s="37" t="s">
        <v>131</v>
      </c>
      <c r="K22" s="36"/>
      <c r="L22" s="36"/>
      <c r="M22" s="36"/>
      <c r="N22" s="36"/>
      <c r="O22" s="36"/>
      <c r="P22" s="36"/>
      <c r="Q22" s="36"/>
      <c r="R22" s="36"/>
      <c r="S22" s="36"/>
      <c r="T22" s="36"/>
      <c r="U22" s="36"/>
      <c r="V22" s="36"/>
      <c r="W22" s="36"/>
      <c r="X22" s="36"/>
      <c r="Y22" s="36"/>
      <c r="Z22" s="36" t="s">
        <v>61</v>
      </c>
      <c r="AA22" s="36"/>
      <c r="AB22" s="36"/>
      <c r="AC22" s="36"/>
      <c r="AD22" s="36"/>
      <c r="AE22" s="36"/>
      <c r="AF22" s="36"/>
      <c r="AG22" s="36"/>
      <c r="AH22" s="36"/>
      <c r="AI22" s="36"/>
      <c r="AJ22" s="38" t="s">
        <v>165</v>
      </c>
      <c r="AK22" s="94" t="s">
        <v>166</v>
      </c>
      <c r="AL22" s="5" t="s">
        <v>64</v>
      </c>
      <c r="AM22" s="109" t="s">
        <v>65</v>
      </c>
      <c r="AN22" s="95" t="s">
        <v>92</v>
      </c>
      <c r="AO22" s="125" t="s">
        <v>66</v>
      </c>
      <c r="AP22" s="29"/>
      <c r="AQ22" s="6"/>
      <c r="AR22" s="7"/>
      <c r="AS22" s="7"/>
      <c r="AT22" s="7"/>
      <c r="AU22" s="7"/>
      <c r="AV22" s="7"/>
      <c r="AW22" s="7"/>
      <c r="AX22" s="7"/>
      <c r="AY22" s="7"/>
      <c r="AZ22" s="7"/>
      <c r="BA22" s="7"/>
      <c r="BB22" s="7"/>
      <c r="BC22" s="7"/>
      <c r="BD22" s="7"/>
      <c r="BE22" s="7"/>
    </row>
    <row r="23" spans="1:57" ht="94.5" customHeight="1">
      <c r="A23" s="2" t="s">
        <v>105</v>
      </c>
      <c r="B23" s="2" t="s">
        <v>54</v>
      </c>
      <c r="C23" s="27" t="s">
        <v>120</v>
      </c>
      <c r="D23" s="105" t="s">
        <v>51</v>
      </c>
      <c r="E23" s="104" t="s">
        <v>167</v>
      </c>
      <c r="F23" s="79" t="s">
        <v>52</v>
      </c>
      <c r="G23" s="94" t="s">
        <v>168</v>
      </c>
      <c r="H23" s="46" t="s">
        <v>169</v>
      </c>
      <c r="I23" s="10" t="s">
        <v>170</v>
      </c>
      <c r="J23" s="37" t="s">
        <v>131</v>
      </c>
      <c r="K23" s="36"/>
      <c r="L23" s="36"/>
      <c r="M23" s="2"/>
      <c r="N23" s="36"/>
      <c r="O23" s="36"/>
      <c r="P23" s="36"/>
      <c r="Q23" s="36"/>
      <c r="R23" s="36"/>
      <c r="S23" s="36"/>
      <c r="T23" s="36"/>
      <c r="U23" s="36"/>
      <c r="V23" s="36"/>
      <c r="W23" s="36"/>
      <c r="X23" s="36"/>
      <c r="Y23" s="36"/>
      <c r="Z23" s="36"/>
      <c r="AA23" s="36" t="s">
        <v>61</v>
      </c>
      <c r="AB23" s="36"/>
      <c r="AC23" s="36"/>
      <c r="AD23" s="36"/>
      <c r="AE23" s="36"/>
      <c r="AF23" s="36"/>
      <c r="AG23" s="36"/>
      <c r="AH23" s="36"/>
      <c r="AI23" s="36"/>
      <c r="AJ23" s="38" t="s">
        <v>171</v>
      </c>
      <c r="AK23" s="8" t="s">
        <v>172</v>
      </c>
      <c r="AL23" s="5" t="s">
        <v>64</v>
      </c>
      <c r="AM23" s="109" t="s">
        <v>65</v>
      </c>
      <c r="AN23" s="125" t="s">
        <v>66</v>
      </c>
      <c r="AO23" s="128" t="s">
        <v>66</v>
      </c>
      <c r="AP23" s="9"/>
      <c r="AQ23" s="28"/>
      <c r="AR23" s="7"/>
      <c r="AS23" s="96" t="s">
        <v>112</v>
      </c>
      <c r="AT23" s="7"/>
      <c r="AU23" s="7"/>
      <c r="AV23" s="7"/>
      <c r="AW23" s="7"/>
      <c r="AX23" s="7"/>
      <c r="AY23" s="7"/>
      <c r="AZ23" s="7"/>
      <c r="BA23" s="7"/>
      <c r="BB23" s="7"/>
      <c r="BC23" s="7"/>
      <c r="BD23" s="7"/>
      <c r="BE23" s="7"/>
    </row>
    <row r="24" spans="1:57" ht="87" customHeight="1">
      <c r="A24" s="2" t="s">
        <v>105</v>
      </c>
      <c r="B24" s="2" t="s">
        <v>54</v>
      </c>
      <c r="C24" s="27" t="s">
        <v>120</v>
      </c>
      <c r="D24" s="105" t="s">
        <v>51</v>
      </c>
      <c r="E24" s="104" t="s">
        <v>173</v>
      </c>
      <c r="F24" s="79" t="s">
        <v>52</v>
      </c>
      <c r="G24" s="94" t="s">
        <v>174</v>
      </c>
      <c r="H24" s="46" t="s">
        <v>175</v>
      </c>
      <c r="I24" s="10" t="s">
        <v>176</v>
      </c>
      <c r="J24" s="37" t="s">
        <v>131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8" t="s">
        <v>177</v>
      </c>
      <c r="AK24" s="8" t="s">
        <v>178</v>
      </c>
      <c r="AL24" s="5" t="s">
        <v>64</v>
      </c>
      <c r="AM24" s="109" t="s">
        <v>65</v>
      </c>
      <c r="AN24" s="125" t="s">
        <v>66</v>
      </c>
      <c r="AO24" s="128" t="s">
        <v>66</v>
      </c>
      <c r="AP24" s="4"/>
      <c r="AQ24" s="28"/>
      <c r="AR24" s="7"/>
      <c r="AS24" s="78" t="s">
        <v>112</v>
      </c>
      <c r="AT24" s="7"/>
      <c r="AU24" s="7"/>
      <c r="AV24" s="7"/>
      <c r="AW24" s="7"/>
      <c r="AX24" s="7"/>
      <c r="AY24" s="7"/>
      <c r="AZ24" s="7"/>
      <c r="BA24" s="7"/>
      <c r="BB24" s="7"/>
      <c r="BC24" s="7"/>
      <c r="BD24" s="7"/>
      <c r="BE24" s="7"/>
    </row>
    <row r="25" spans="1:57" ht="80.25" customHeight="1">
      <c r="A25" s="2" t="s">
        <v>105</v>
      </c>
      <c r="B25" s="2" t="s">
        <v>54</v>
      </c>
      <c r="C25" s="27" t="s">
        <v>120</v>
      </c>
      <c r="D25" s="105" t="s">
        <v>51</v>
      </c>
      <c r="E25" s="104" t="s">
        <v>179</v>
      </c>
      <c r="F25" s="79" t="s">
        <v>52</v>
      </c>
      <c r="G25" s="94" t="s">
        <v>180</v>
      </c>
      <c r="H25" s="46" t="s">
        <v>181</v>
      </c>
      <c r="I25" s="10" t="s">
        <v>182</v>
      </c>
      <c r="J25" s="27" t="s">
        <v>60</v>
      </c>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40" t="s">
        <v>183</v>
      </c>
      <c r="AK25" s="31" t="s">
        <v>184</v>
      </c>
      <c r="AL25" s="32" t="s">
        <v>64</v>
      </c>
      <c r="AM25" s="109" t="s">
        <v>65</v>
      </c>
      <c r="AN25" s="125" t="s">
        <v>66</v>
      </c>
      <c r="AO25" s="128" t="s">
        <v>66</v>
      </c>
      <c r="AP25" s="4"/>
      <c r="AQ25" s="28"/>
      <c r="AR25" s="7"/>
      <c r="AS25" s="78" t="s">
        <v>112</v>
      </c>
      <c r="AT25" s="7"/>
      <c r="AU25" s="7"/>
      <c r="AV25" s="7"/>
      <c r="AW25" s="7"/>
      <c r="AX25" s="7"/>
      <c r="AY25" s="7"/>
      <c r="AZ25" s="7"/>
      <c r="BA25" s="7"/>
      <c r="BB25" s="7"/>
      <c r="BC25" s="7"/>
      <c r="BD25" s="7"/>
      <c r="BE25" s="7"/>
    </row>
    <row r="26" spans="1:57" ht="82.5" customHeight="1">
      <c r="A26" s="2" t="s">
        <v>105</v>
      </c>
      <c r="B26" s="2" t="s">
        <v>54</v>
      </c>
      <c r="C26" s="27" t="s">
        <v>120</v>
      </c>
      <c r="D26" s="105" t="s">
        <v>51</v>
      </c>
      <c r="E26" s="104" t="s">
        <v>185</v>
      </c>
      <c r="F26" s="79" t="s">
        <v>52</v>
      </c>
      <c r="G26" s="94" t="s">
        <v>186</v>
      </c>
      <c r="H26" s="46" t="s">
        <v>187</v>
      </c>
      <c r="I26" s="10" t="s">
        <v>188</v>
      </c>
      <c r="J26" s="37" t="s">
        <v>131</v>
      </c>
      <c r="K26" s="36"/>
      <c r="L26" s="36"/>
      <c r="M26" s="36"/>
      <c r="N26" s="36"/>
      <c r="O26" s="36"/>
      <c r="P26" s="36"/>
      <c r="Q26" s="36"/>
      <c r="R26" s="36"/>
      <c r="S26" s="36"/>
      <c r="T26" s="36"/>
      <c r="U26" s="36"/>
      <c r="V26" s="36"/>
      <c r="W26" s="36"/>
      <c r="X26" s="36"/>
      <c r="Y26" s="36"/>
      <c r="Z26" s="36"/>
      <c r="AA26" s="36"/>
      <c r="AB26" s="36" t="s">
        <v>61</v>
      </c>
      <c r="AC26" s="36"/>
      <c r="AD26" s="36"/>
      <c r="AE26" s="36"/>
      <c r="AF26" s="36"/>
      <c r="AG26" s="36"/>
      <c r="AH26" s="36"/>
      <c r="AI26" s="36"/>
      <c r="AJ26" s="39" t="s">
        <v>189</v>
      </c>
      <c r="AK26" s="122" t="s">
        <v>190</v>
      </c>
      <c r="AL26" s="109" t="s">
        <v>191</v>
      </c>
      <c r="AM26" s="123" t="s">
        <v>65</v>
      </c>
      <c r="AN26" s="125" t="s">
        <v>66</v>
      </c>
      <c r="AO26" s="128" t="s">
        <v>66</v>
      </c>
      <c r="AP26" s="4"/>
      <c r="AQ26" s="28"/>
      <c r="AR26" s="7"/>
      <c r="AS26" s="78" t="s">
        <v>112</v>
      </c>
      <c r="AT26" s="7"/>
      <c r="AU26" s="7"/>
      <c r="AV26" s="7"/>
      <c r="AW26" s="7"/>
      <c r="AX26" s="7"/>
      <c r="AY26" s="7"/>
      <c r="AZ26" s="7"/>
      <c r="BA26" s="7"/>
      <c r="BB26" s="7"/>
      <c r="BC26" s="7"/>
      <c r="BD26" s="7"/>
      <c r="BE26" s="7"/>
    </row>
    <row r="27" spans="1:57" ht="89.45" customHeight="1">
      <c r="A27" s="2" t="s">
        <v>105</v>
      </c>
      <c r="B27" s="2" t="s">
        <v>54</v>
      </c>
      <c r="C27" s="27" t="s">
        <v>120</v>
      </c>
      <c r="D27" s="105" t="s">
        <v>51</v>
      </c>
      <c r="E27" s="104" t="s">
        <v>56</v>
      </c>
      <c r="F27" s="110" t="s">
        <v>52</v>
      </c>
      <c r="G27" s="94" t="s">
        <v>192</v>
      </c>
      <c r="H27" s="92" t="s">
        <v>193</v>
      </c>
      <c r="I27" s="119" t="s">
        <v>194</v>
      </c>
      <c r="J27" s="37" t="s">
        <v>131</v>
      </c>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8" t="s">
        <v>195</v>
      </c>
      <c r="AK27" s="120" t="s">
        <v>196</v>
      </c>
      <c r="AL27" s="124" t="s">
        <v>197</v>
      </c>
      <c r="AM27" s="109" t="s">
        <v>65</v>
      </c>
      <c r="AN27" s="125" t="s">
        <v>66</v>
      </c>
      <c r="AO27" s="128" t="s">
        <v>66</v>
      </c>
      <c r="AP27" s="121" t="s">
        <v>198</v>
      </c>
      <c r="AQ27" s="28"/>
      <c r="AR27" s="7"/>
      <c r="AS27" s="78" t="s">
        <v>112</v>
      </c>
      <c r="AT27" s="7"/>
      <c r="AU27" s="7"/>
      <c r="AV27" s="7"/>
      <c r="AW27" s="7"/>
      <c r="AX27" s="7"/>
      <c r="AY27" s="7"/>
      <c r="AZ27" s="7"/>
      <c r="BA27" s="7"/>
      <c r="BB27" s="7"/>
      <c r="BC27" s="7"/>
      <c r="BD27" s="7"/>
      <c r="BE27" s="7"/>
    </row>
    <row r="28" spans="1:57" ht="62.25" customHeight="1">
      <c r="A28" s="2" t="s">
        <v>105</v>
      </c>
      <c r="B28" s="2" t="s">
        <v>54</v>
      </c>
      <c r="C28" s="27" t="s">
        <v>120</v>
      </c>
      <c r="D28" s="105" t="s">
        <v>51</v>
      </c>
      <c r="E28" s="104" t="s">
        <v>134</v>
      </c>
      <c r="F28" s="79" t="s">
        <v>52</v>
      </c>
      <c r="G28" s="94" t="s">
        <v>199</v>
      </c>
      <c r="H28" s="46" t="s">
        <v>200</v>
      </c>
      <c r="I28" s="10" t="s">
        <v>201</v>
      </c>
      <c r="J28" s="27" t="s">
        <v>60</v>
      </c>
      <c r="K28" s="36"/>
      <c r="L28" s="36"/>
      <c r="M28" s="36"/>
      <c r="N28" s="36"/>
      <c r="O28" s="36"/>
      <c r="P28" s="36"/>
      <c r="Q28" s="36"/>
      <c r="R28" s="36"/>
      <c r="S28" s="36"/>
      <c r="T28" s="36"/>
      <c r="U28" s="36"/>
      <c r="V28" s="36"/>
      <c r="W28" s="36"/>
      <c r="X28" s="36"/>
      <c r="Y28" s="36"/>
      <c r="Z28" s="36"/>
      <c r="AA28" s="36"/>
      <c r="AB28" s="36"/>
      <c r="AC28" s="36" t="s">
        <v>61</v>
      </c>
      <c r="AD28" s="36"/>
      <c r="AE28" s="36"/>
      <c r="AF28" s="36"/>
      <c r="AG28" s="36"/>
      <c r="AH28" s="36"/>
      <c r="AI28" s="36"/>
      <c r="AJ28" s="38" t="s">
        <v>202</v>
      </c>
      <c r="AK28" s="8" t="s">
        <v>203</v>
      </c>
      <c r="AL28" s="5" t="s">
        <v>64</v>
      </c>
      <c r="AM28" s="109" t="s">
        <v>65</v>
      </c>
      <c r="AN28" s="125" t="s">
        <v>66</v>
      </c>
      <c r="AO28" s="128" t="s">
        <v>66</v>
      </c>
      <c r="AP28" s="4"/>
      <c r="AQ28" s="28"/>
      <c r="AR28" s="7"/>
      <c r="AS28" s="7"/>
      <c r="AT28" s="7"/>
      <c r="AU28" s="7"/>
      <c r="AV28" s="7"/>
      <c r="AW28" s="7"/>
      <c r="AX28" s="7"/>
      <c r="AY28" s="7"/>
      <c r="AZ28" s="7"/>
      <c r="BA28" s="7"/>
      <c r="BB28" s="7"/>
      <c r="BC28" s="7"/>
      <c r="BD28" s="7"/>
      <c r="BE28" s="7"/>
    </row>
    <row r="29" spans="1:57" ht="77.25" customHeight="1">
      <c r="A29" s="2" t="s">
        <v>105</v>
      </c>
      <c r="B29" s="2" t="s">
        <v>54</v>
      </c>
      <c r="C29" s="27" t="s">
        <v>120</v>
      </c>
      <c r="D29" s="105" t="s">
        <v>51</v>
      </c>
      <c r="E29" s="104" t="s">
        <v>204</v>
      </c>
      <c r="F29" s="79" t="s">
        <v>52</v>
      </c>
      <c r="G29" s="94" t="s">
        <v>205</v>
      </c>
      <c r="H29" s="46" t="s">
        <v>206</v>
      </c>
      <c r="I29" s="10" t="s">
        <v>207</v>
      </c>
      <c r="J29" s="37" t="s">
        <v>131</v>
      </c>
      <c r="K29" s="36"/>
      <c r="L29" s="36"/>
      <c r="M29" s="36"/>
      <c r="N29" s="36"/>
      <c r="O29" s="36"/>
      <c r="P29" s="36"/>
      <c r="Q29" s="36"/>
      <c r="R29" s="36"/>
      <c r="S29" s="36"/>
      <c r="T29" s="36"/>
      <c r="U29" s="36"/>
      <c r="V29" s="36"/>
      <c r="W29" s="36"/>
      <c r="X29" s="36"/>
      <c r="Y29" s="36"/>
      <c r="Z29" s="36"/>
      <c r="AA29" s="36"/>
      <c r="AB29" s="36"/>
      <c r="AC29" s="36" t="s">
        <v>61</v>
      </c>
      <c r="AD29" s="36"/>
      <c r="AE29" s="36"/>
      <c r="AF29" s="36"/>
      <c r="AG29" s="36"/>
      <c r="AH29" s="36"/>
      <c r="AI29" s="36"/>
      <c r="AJ29" s="38" t="s">
        <v>208</v>
      </c>
      <c r="AK29" s="8" t="s">
        <v>209</v>
      </c>
      <c r="AL29" s="5" t="s">
        <v>64</v>
      </c>
      <c r="AM29" s="109" t="s">
        <v>65</v>
      </c>
      <c r="AN29" s="125" t="s">
        <v>66</v>
      </c>
      <c r="AO29" s="128" t="s">
        <v>66</v>
      </c>
      <c r="AP29" s="4"/>
      <c r="AQ29" s="28"/>
      <c r="AR29" s="7"/>
      <c r="AS29" s="7"/>
      <c r="AT29" s="7"/>
      <c r="AU29" s="7"/>
      <c r="AV29" s="7"/>
      <c r="AW29" s="7"/>
      <c r="AX29" s="7"/>
      <c r="AY29" s="7"/>
      <c r="AZ29" s="7"/>
      <c r="BA29" s="7"/>
      <c r="BB29" s="7"/>
      <c r="BC29" s="7"/>
      <c r="BD29" s="7"/>
      <c r="BE29" s="7"/>
    </row>
    <row r="30" spans="1:57" ht="77.25" customHeight="1">
      <c r="A30" s="2" t="s">
        <v>105</v>
      </c>
      <c r="B30" s="2" t="s">
        <v>54</v>
      </c>
      <c r="C30" s="27" t="s">
        <v>120</v>
      </c>
      <c r="D30" s="105" t="s">
        <v>51</v>
      </c>
      <c r="E30" s="104" t="s">
        <v>210</v>
      </c>
      <c r="F30" s="79" t="s">
        <v>52</v>
      </c>
      <c r="G30" s="94" t="s">
        <v>211</v>
      </c>
      <c r="H30" s="46" t="s">
        <v>212</v>
      </c>
      <c r="I30" s="10" t="s">
        <v>213</v>
      </c>
      <c r="J30" s="27" t="s">
        <v>60</v>
      </c>
      <c r="K30" s="36"/>
      <c r="L30" s="36"/>
      <c r="M30" s="36"/>
      <c r="N30" s="36"/>
      <c r="O30" s="36"/>
      <c r="P30" s="36"/>
      <c r="Q30" s="36"/>
      <c r="R30" s="36"/>
      <c r="S30" s="36"/>
      <c r="T30" s="36"/>
      <c r="U30" s="36"/>
      <c r="V30" s="36"/>
      <c r="W30" s="36" t="s">
        <v>61</v>
      </c>
      <c r="X30" s="36"/>
      <c r="Y30" s="36"/>
      <c r="Z30" s="36"/>
      <c r="AA30" s="36"/>
      <c r="AB30" s="36"/>
      <c r="AC30" s="36"/>
      <c r="AD30" s="36"/>
      <c r="AE30" s="36"/>
      <c r="AF30" s="36"/>
      <c r="AG30" s="36"/>
      <c r="AH30" s="36"/>
      <c r="AI30" s="36"/>
      <c r="AJ30" s="38" t="s">
        <v>214</v>
      </c>
      <c r="AK30" s="8" t="s">
        <v>184</v>
      </c>
      <c r="AL30" s="5" t="s">
        <v>64</v>
      </c>
      <c r="AM30" s="109" t="s">
        <v>65</v>
      </c>
      <c r="AN30" s="125" t="s">
        <v>66</v>
      </c>
      <c r="AO30" s="128" t="s">
        <v>66</v>
      </c>
      <c r="AP30" s="4"/>
      <c r="AQ30" s="28"/>
      <c r="AR30" s="7"/>
      <c r="AS30" s="7"/>
      <c r="AT30" s="7"/>
      <c r="AU30" s="7"/>
      <c r="AV30" s="7"/>
      <c r="AW30" s="7"/>
      <c r="AX30" s="7"/>
      <c r="AY30" s="7"/>
      <c r="AZ30" s="7"/>
      <c r="BA30" s="7"/>
      <c r="BB30" s="7"/>
      <c r="BC30" s="7"/>
      <c r="BD30" s="7"/>
      <c r="BE30" s="7"/>
    </row>
    <row r="31" spans="1:57" ht="57.75" customHeight="1">
      <c r="A31" s="2" t="s">
        <v>105</v>
      </c>
      <c r="B31" s="2" t="s">
        <v>54</v>
      </c>
      <c r="C31" s="27" t="s">
        <v>120</v>
      </c>
      <c r="D31" s="105" t="s">
        <v>51</v>
      </c>
      <c r="E31" s="104" t="s">
        <v>215</v>
      </c>
      <c r="F31" s="79" t="s">
        <v>52</v>
      </c>
      <c r="G31" s="94" t="s">
        <v>216</v>
      </c>
      <c r="H31" s="46" t="s">
        <v>217</v>
      </c>
      <c r="I31" s="10" t="s">
        <v>218</v>
      </c>
      <c r="J31" s="37" t="s">
        <v>131</v>
      </c>
      <c r="K31" s="36"/>
      <c r="L31" s="36"/>
      <c r="M31" s="36"/>
      <c r="N31" s="36"/>
      <c r="O31" s="36"/>
      <c r="P31" s="36"/>
      <c r="Q31" s="36"/>
      <c r="R31" s="36"/>
      <c r="S31" s="36"/>
      <c r="T31" s="36"/>
      <c r="U31" s="36"/>
      <c r="V31" s="36"/>
      <c r="W31" s="36"/>
      <c r="X31" s="36" t="s">
        <v>61</v>
      </c>
      <c r="Y31" s="36"/>
      <c r="Z31" s="36"/>
      <c r="AA31" s="36"/>
      <c r="AB31" s="36"/>
      <c r="AC31" s="36"/>
      <c r="AD31" s="36"/>
      <c r="AE31" s="36"/>
      <c r="AF31" s="36"/>
      <c r="AG31" s="36"/>
      <c r="AH31" s="36"/>
      <c r="AI31" s="36"/>
      <c r="AJ31" s="38" t="s">
        <v>219</v>
      </c>
      <c r="AK31" s="8" t="s">
        <v>220</v>
      </c>
      <c r="AL31" s="5" t="s">
        <v>64</v>
      </c>
      <c r="AM31" s="109" t="s">
        <v>65</v>
      </c>
      <c r="AN31" s="125" t="s">
        <v>66</v>
      </c>
      <c r="AO31" s="128" t="s">
        <v>66</v>
      </c>
      <c r="AP31" s="4"/>
      <c r="AQ31" s="28"/>
      <c r="AR31" s="7"/>
      <c r="AS31" s="7"/>
      <c r="AT31" s="7"/>
      <c r="AU31" s="7"/>
      <c r="AV31" s="7"/>
      <c r="AW31" s="7"/>
      <c r="AX31" s="7"/>
      <c r="AY31" s="7"/>
      <c r="AZ31" s="7"/>
      <c r="BA31" s="7"/>
      <c r="BB31" s="7"/>
      <c r="BC31" s="7"/>
      <c r="BD31" s="7"/>
      <c r="BE31" s="7"/>
    </row>
    <row r="32" spans="1:57" ht="52.5" customHeight="1">
      <c r="A32" s="2" t="s">
        <v>105</v>
      </c>
      <c r="B32" s="2" t="s">
        <v>54</v>
      </c>
      <c r="C32" s="27" t="s">
        <v>120</v>
      </c>
      <c r="D32" s="105" t="s">
        <v>51</v>
      </c>
      <c r="E32" s="104" t="s">
        <v>221</v>
      </c>
      <c r="F32" s="79" t="s">
        <v>52</v>
      </c>
      <c r="G32" s="94" t="s">
        <v>222</v>
      </c>
      <c r="H32" s="46" t="s">
        <v>223</v>
      </c>
      <c r="I32" s="10" t="s">
        <v>224</v>
      </c>
      <c r="J32" s="72" t="s">
        <v>60</v>
      </c>
      <c r="K32" s="36"/>
      <c r="L32" s="36"/>
      <c r="M32" s="36"/>
      <c r="N32" s="36"/>
      <c r="O32" s="36"/>
      <c r="P32" s="36"/>
      <c r="Q32" s="36"/>
      <c r="R32" s="36"/>
      <c r="S32" s="36"/>
      <c r="T32" s="36"/>
      <c r="U32" s="36"/>
      <c r="V32" s="36"/>
      <c r="W32" s="36"/>
      <c r="X32" s="36"/>
      <c r="Y32" s="36"/>
      <c r="Z32" s="36"/>
      <c r="AA32" s="36"/>
      <c r="AB32" s="36"/>
      <c r="AC32" s="36"/>
      <c r="AD32" s="36" t="s">
        <v>61</v>
      </c>
      <c r="AE32" s="36"/>
      <c r="AF32" s="36"/>
      <c r="AG32" s="36"/>
      <c r="AH32" s="36"/>
      <c r="AI32" s="36"/>
      <c r="AJ32" s="38" t="s">
        <v>225</v>
      </c>
      <c r="AK32" s="8" t="s">
        <v>184</v>
      </c>
      <c r="AL32" s="5" t="s">
        <v>64</v>
      </c>
      <c r="AM32" s="109" t="s">
        <v>65</v>
      </c>
      <c r="AN32" s="125" t="s">
        <v>66</v>
      </c>
      <c r="AO32" s="128" t="s">
        <v>66</v>
      </c>
      <c r="AP32" s="4"/>
      <c r="AQ32" s="28"/>
      <c r="AR32" s="7"/>
      <c r="AS32" s="7"/>
      <c r="AT32" s="7"/>
      <c r="AU32" s="7"/>
      <c r="AV32" s="7"/>
      <c r="AW32" s="7"/>
      <c r="AX32" s="7"/>
      <c r="AY32" s="7"/>
      <c r="AZ32" s="7"/>
      <c r="BA32" s="7"/>
      <c r="BB32" s="7"/>
      <c r="BC32" s="7"/>
      <c r="BD32" s="7"/>
      <c r="BE32" s="7"/>
    </row>
    <row r="33" spans="1:57" ht="106.5" customHeight="1">
      <c r="A33" s="2" t="s">
        <v>105</v>
      </c>
      <c r="B33" s="2" t="s">
        <v>54</v>
      </c>
      <c r="C33" s="27" t="s">
        <v>120</v>
      </c>
      <c r="D33" s="105" t="s">
        <v>51</v>
      </c>
      <c r="E33" s="104" t="s">
        <v>226</v>
      </c>
      <c r="F33" s="110" t="s">
        <v>52</v>
      </c>
      <c r="G33" s="94" t="s">
        <v>162</v>
      </c>
      <c r="H33" s="46" t="s">
        <v>227</v>
      </c>
      <c r="I33" s="10" t="s">
        <v>228</v>
      </c>
      <c r="J33" s="37" t="s">
        <v>131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8" t="s">
        <v>229</v>
      </c>
      <c r="AK33" s="8" t="s">
        <v>230</v>
      </c>
      <c r="AL33" s="5" t="s">
        <v>64</v>
      </c>
      <c r="AM33" s="109" t="s">
        <v>65</v>
      </c>
      <c r="AN33" s="125" t="s">
        <v>66</v>
      </c>
      <c r="AO33" s="128" t="s">
        <v>66</v>
      </c>
      <c r="AP33" s="4" t="s">
        <v>231</v>
      </c>
      <c r="AQ33" s="28"/>
      <c r="AR33" s="7"/>
      <c r="AS33" s="7"/>
      <c r="AT33" s="7"/>
      <c r="AU33" s="7"/>
      <c r="AV33" s="7"/>
      <c r="AW33" s="7"/>
      <c r="AX33" s="7"/>
      <c r="AY33" s="7"/>
      <c r="AZ33" s="7"/>
      <c r="BA33" s="7"/>
      <c r="BB33" s="7"/>
      <c r="BC33" s="7"/>
      <c r="BD33" s="7"/>
      <c r="BE33" s="7"/>
    </row>
    <row r="34" spans="1:57" ht="63" customHeight="1">
      <c r="A34" s="2" t="s">
        <v>105</v>
      </c>
      <c r="B34" s="2" t="s">
        <v>54</v>
      </c>
      <c r="C34" s="27" t="s">
        <v>120</v>
      </c>
      <c r="D34" s="105" t="s">
        <v>51</v>
      </c>
      <c r="E34" s="104" t="s">
        <v>56</v>
      </c>
      <c r="F34" s="79" t="s">
        <v>52</v>
      </c>
      <c r="G34" s="94" t="s">
        <v>232</v>
      </c>
      <c r="H34" s="46" t="s">
        <v>233</v>
      </c>
      <c r="I34" s="10" t="s">
        <v>234</v>
      </c>
      <c r="J34" s="27" t="s">
        <v>60</v>
      </c>
      <c r="K34" s="36"/>
      <c r="L34" s="36"/>
      <c r="M34" s="36"/>
      <c r="N34" s="36"/>
      <c r="O34" s="36"/>
      <c r="P34" s="36"/>
      <c r="Q34" s="36"/>
      <c r="R34" s="36"/>
      <c r="S34" s="36"/>
      <c r="T34" s="36"/>
      <c r="U34" s="36"/>
      <c r="V34" s="36"/>
      <c r="W34" s="36"/>
      <c r="X34" s="36"/>
      <c r="Y34" s="36"/>
      <c r="Z34" s="36"/>
      <c r="AA34" s="36" t="s">
        <v>61</v>
      </c>
      <c r="AB34" s="36"/>
      <c r="AC34" s="36"/>
      <c r="AD34" s="36"/>
      <c r="AE34" s="36"/>
      <c r="AF34" s="36"/>
      <c r="AG34" s="36"/>
      <c r="AH34" s="36" t="s">
        <v>61</v>
      </c>
      <c r="AI34" s="36"/>
      <c r="AJ34" s="38" t="s">
        <v>235</v>
      </c>
      <c r="AK34" s="31" t="s">
        <v>184</v>
      </c>
      <c r="AL34" s="32" t="s">
        <v>64</v>
      </c>
      <c r="AM34" s="109" t="s">
        <v>65</v>
      </c>
      <c r="AN34" s="129" t="s">
        <v>66</v>
      </c>
      <c r="AO34" s="130" t="s">
        <v>66</v>
      </c>
      <c r="AP34" s="29"/>
      <c r="AQ34" s="34"/>
      <c r="AR34" s="7"/>
      <c r="AS34" s="7"/>
      <c r="AT34" s="7"/>
      <c r="AU34" s="7"/>
      <c r="AV34" s="7"/>
      <c r="AW34" s="7"/>
      <c r="AX34" s="7"/>
      <c r="AY34" s="7"/>
      <c r="AZ34" s="7"/>
      <c r="BA34" s="7"/>
      <c r="BB34" s="7"/>
      <c r="BC34" s="7"/>
      <c r="BD34" s="7"/>
      <c r="BE34" s="7"/>
    </row>
    <row r="35" spans="1:57" ht="56.25" customHeight="1">
      <c r="A35" s="2" t="s">
        <v>105</v>
      </c>
      <c r="B35" s="2" t="s">
        <v>54</v>
      </c>
      <c r="C35" s="27" t="s">
        <v>120</v>
      </c>
      <c r="D35" s="105" t="s">
        <v>51</v>
      </c>
      <c r="E35" s="104" t="s">
        <v>236</v>
      </c>
      <c r="F35" s="79" t="s">
        <v>52</v>
      </c>
      <c r="G35" s="94" t="s">
        <v>237</v>
      </c>
      <c r="H35" s="46" t="s">
        <v>238</v>
      </c>
      <c r="I35" s="30" t="s">
        <v>239</v>
      </c>
      <c r="J35" s="33" t="s">
        <v>60</v>
      </c>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t="s">
        <v>61</v>
      </c>
      <c r="AJ35" s="97" t="s">
        <v>240</v>
      </c>
      <c r="AK35" s="98" t="s">
        <v>184</v>
      </c>
      <c r="AL35" s="99" t="s">
        <v>64</v>
      </c>
      <c r="AM35" s="109" t="s">
        <v>65</v>
      </c>
      <c r="AN35" s="131" t="s">
        <v>66</v>
      </c>
      <c r="AO35" s="131" t="s">
        <v>66</v>
      </c>
      <c r="AP35" s="100"/>
      <c r="AQ35" s="101"/>
      <c r="AR35" s="7"/>
      <c r="AS35" s="7"/>
      <c r="AT35" s="7"/>
      <c r="AU35" s="7"/>
      <c r="AV35" s="7"/>
      <c r="AW35" s="7"/>
      <c r="AX35" s="7"/>
      <c r="AY35" s="7"/>
      <c r="AZ35" s="7"/>
      <c r="BA35" s="7"/>
      <c r="BB35" s="7"/>
      <c r="BC35" s="7"/>
      <c r="BD35" s="7"/>
      <c r="BE35" s="7"/>
    </row>
    <row r="36" spans="1:57" ht="63" customHeight="1">
      <c r="A36" s="2" t="s">
        <v>105</v>
      </c>
      <c r="B36" s="2" t="s">
        <v>54</v>
      </c>
      <c r="C36" s="27" t="s">
        <v>120</v>
      </c>
      <c r="D36" s="105" t="s">
        <v>51</v>
      </c>
      <c r="E36" s="104" t="s">
        <v>241</v>
      </c>
      <c r="F36" s="79" t="s">
        <v>52</v>
      </c>
      <c r="G36" s="94" t="s">
        <v>242</v>
      </c>
      <c r="H36" s="46" t="s">
        <v>243</v>
      </c>
      <c r="I36" s="69" t="s">
        <v>244</v>
      </c>
      <c r="J36" s="70" t="s">
        <v>131</v>
      </c>
      <c r="K36" s="48"/>
      <c r="L36" s="36"/>
      <c r="M36" s="36"/>
      <c r="N36" s="36"/>
      <c r="O36" s="36"/>
      <c r="P36" s="36"/>
      <c r="Q36" s="36"/>
      <c r="R36" s="36"/>
      <c r="S36" s="36"/>
      <c r="T36" s="36"/>
      <c r="U36" s="36"/>
      <c r="V36" s="36"/>
      <c r="W36" s="36"/>
      <c r="X36" s="36"/>
      <c r="Y36" s="36"/>
      <c r="Z36" s="36"/>
      <c r="AA36" s="36"/>
      <c r="AB36" s="36"/>
      <c r="AC36" s="36"/>
      <c r="AD36" s="36"/>
      <c r="AE36" s="36"/>
      <c r="AF36" s="36"/>
      <c r="AG36" s="36"/>
      <c r="AH36" s="36"/>
      <c r="AI36" s="36" t="s">
        <v>61</v>
      </c>
      <c r="AJ36" s="71" t="s">
        <v>245</v>
      </c>
      <c r="AK36" s="98" t="s">
        <v>246</v>
      </c>
      <c r="AL36" s="99" t="s">
        <v>64</v>
      </c>
      <c r="AM36" s="109" t="s">
        <v>65</v>
      </c>
      <c r="AN36" s="131" t="s">
        <v>66</v>
      </c>
      <c r="AO36" s="131" t="s">
        <v>66</v>
      </c>
      <c r="AP36" s="100"/>
      <c r="AQ36" s="101"/>
      <c r="AR36" s="7"/>
      <c r="AS36" s="7"/>
      <c r="AT36" s="7"/>
      <c r="AU36" s="7"/>
      <c r="AV36" s="7"/>
      <c r="AW36" s="7"/>
      <c r="AX36" s="7"/>
      <c r="AY36" s="7"/>
      <c r="AZ36" s="7"/>
      <c r="BA36" s="7"/>
      <c r="BB36" s="7"/>
      <c r="BC36" s="7"/>
      <c r="BD36" s="7"/>
      <c r="BE36" s="7"/>
    </row>
    <row r="37" spans="1:57" ht="15.75" customHeight="1">
      <c r="A37" s="11"/>
      <c r="B37" s="11"/>
      <c r="C37" s="11"/>
      <c r="D37" s="13"/>
      <c r="E37" s="13"/>
      <c r="F37" s="13"/>
      <c r="G37" s="13"/>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2"/>
      <c r="AN37" s="13"/>
      <c r="AO37" s="13"/>
      <c r="AP37" s="11"/>
      <c r="AQ37" s="11"/>
      <c r="AR37" s="11"/>
      <c r="AS37" s="11"/>
      <c r="AT37" s="11"/>
      <c r="AU37" s="11"/>
      <c r="AV37" s="11"/>
      <c r="AW37" s="11"/>
      <c r="AX37" s="11"/>
      <c r="AY37" s="11"/>
      <c r="AZ37" s="11"/>
      <c r="BA37" s="11"/>
      <c r="BB37" s="11"/>
      <c r="BC37" s="11"/>
      <c r="BD37" s="11"/>
      <c r="BE37" s="11"/>
    </row>
    <row r="38" spans="1:57" ht="15.75" customHeight="1">
      <c r="A38" s="11"/>
      <c r="B38" s="11"/>
      <c r="C38" s="11"/>
      <c r="D38" s="13"/>
      <c r="E38" s="13"/>
      <c r="F38" s="13"/>
      <c r="G38" s="13"/>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2"/>
      <c r="AN38" s="14" t="s">
        <v>51</v>
      </c>
      <c r="AO38" s="14" t="s">
        <v>52</v>
      </c>
      <c r="AP38" s="11"/>
      <c r="AQ38" s="11"/>
      <c r="AR38" s="11"/>
      <c r="AS38" s="11"/>
      <c r="AT38" s="11"/>
      <c r="AU38" s="11"/>
      <c r="AV38" s="11"/>
      <c r="AW38" s="11"/>
      <c r="AX38" s="11"/>
      <c r="AY38" s="11"/>
      <c r="AZ38" s="11"/>
      <c r="BA38" s="11"/>
      <c r="BB38" s="11"/>
      <c r="BC38" s="11"/>
      <c r="BD38" s="11"/>
      <c r="BE38" s="11"/>
    </row>
    <row r="39" spans="1:57" ht="15.75" customHeight="1">
      <c r="A39" s="11"/>
      <c r="B39" s="11"/>
      <c r="C39" s="11"/>
      <c r="D39" s="73"/>
      <c r="E39" s="73"/>
      <c r="F39" s="73"/>
      <c r="G39" s="73"/>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5" t="s">
        <v>247</v>
      </c>
      <c r="AN39" s="18">
        <f>COUNTIF(AN4:AN36,"Not Start")</f>
        <v>0</v>
      </c>
      <c r="AO39" s="18">
        <f>COUNTIF(AO4:AO36,"Not Start")</f>
        <v>0</v>
      </c>
      <c r="AP39" s="11"/>
      <c r="AQ39" s="11"/>
      <c r="AR39" s="11"/>
      <c r="AS39" s="11"/>
      <c r="AT39" s="11"/>
      <c r="AU39" s="11"/>
      <c r="AV39" s="11"/>
      <c r="AW39" s="11"/>
      <c r="AX39" s="11"/>
      <c r="AY39" s="11"/>
      <c r="AZ39" s="11"/>
      <c r="BA39" s="11"/>
      <c r="BB39" s="11"/>
      <c r="BC39" s="11"/>
      <c r="BD39" s="11"/>
      <c r="BE39" s="11"/>
    </row>
    <row r="40" spans="1:57" ht="15.75" customHeight="1">
      <c r="A40" s="11"/>
      <c r="B40" s="11"/>
      <c r="C40" s="11"/>
      <c r="D40" s="73"/>
      <c r="E40" s="73"/>
      <c r="F40" s="73"/>
      <c r="G40" s="73"/>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5" t="s">
        <v>248</v>
      </c>
      <c r="AN40" s="18">
        <f>COUNTIF(AN4:AN36,"Inprogress")</f>
        <v>0</v>
      </c>
      <c r="AO40" s="18">
        <f>COUNTIF(AO4:AO36,"Inprogress")</f>
        <v>0</v>
      </c>
      <c r="AP40" s="11"/>
      <c r="AQ40" s="11"/>
      <c r="AR40" s="11"/>
      <c r="AS40" s="11"/>
      <c r="AT40" s="11"/>
      <c r="AU40" s="11"/>
      <c r="AV40" s="11"/>
      <c r="AW40" s="11"/>
      <c r="AX40" s="11"/>
      <c r="AY40" s="11"/>
      <c r="AZ40" s="11"/>
      <c r="BA40" s="11"/>
      <c r="BB40" s="11"/>
      <c r="BC40" s="11"/>
      <c r="BD40" s="11"/>
      <c r="BE40" s="11"/>
    </row>
    <row r="41" spans="1:57" ht="15.75" customHeight="1">
      <c r="A41" s="11"/>
      <c r="B41" s="11"/>
      <c r="C41" s="11"/>
      <c r="D41" s="73"/>
      <c r="E41" s="73"/>
      <c r="F41" s="73"/>
      <c r="G41" s="73"/>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5" t="s">
        <v>92</v>
      </c>
      <c r="AN41" s="18">
        <f>COUNTIF(AN4:AN36,"Skip")</f>
        <v>5</v>
      </c>
      <c r="AO41" s="18">
        <f>COUNTIF(AO4:AO36,"Skip")</f>
        <v>2</v>
      </c>
      <c r="AP41" s="11"/>
      <c r="AQ41" s="11"/>
      <c r="AR41" s="11"/>
      <c r="AS41" s="11"/>
      <c r="AT41" s="11"/>
      <c r="AU41" s="11"/>
      <c r="AV41" s="11"/>
      <c r="AW41" s="11"/>
      <c r="AX41" s="11"/>
      <c r="AY41" s="11"/>
      <c r="AZ41" s="11"/>
      <c r="BA41" s="11"/>
      <c r="BB41" s="11"/>
      <c r="BC41" s="11"/>
      <c r="BD41" s="11"/>
      <c r="BE41" s="11"/>
    </row>
    <row r="42" spans="1:57" ht="15.75" customHeight="1">
      <c r="A42" s="11"/>
      <c r="B42" s="11"/>
      <c r="C42" s="11"/>
      <c r="D42" s="73"/>
      <c r="E42" s="73"/>
      <c r="F42" s="73"/>
      <c r="G42" s="73"/>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5" t="s">
        <v>249</v>
      </c>
      <c r="AN42" s="18">
        <f>COUNTIF(AN4:AN36,"Failed")</f>
        <v>0</v>
      </c>
      <c r="AO42" s="18">
        <f>COUNTIF(AO4:AO36,"Failed")</f>
        <v>0</v>
      </c>
      <c r="AP42" s="11"/>
      <c r="AQ42" s="11"/>
      <c r="AR42" s="11"/>
      <c r="AS42" s="11"/>
      <c r="AT42" s="11"/>
      <c r="AU42" s="11"/>
      <c r="AV42" s="11"/>
      <c r="AW42" s="11"/>
      <c r="AX42" s="11"/>
      <c r="AY42" s="11"/>
      <c r="AZ42" s="11"/>
      <c r="BA42" s="11"/>
      <c r="BB42" s="11"/>
      <c r="BC42" s="11"/>
      <c r="BD42" s="11"/>
      <c r="BE42" s="11"/>
    </row>
    <row r="43" spans="1:57" ht="15.75" customHeight="1">
      <c r="A43" s="11"/>
      <c r="B43" s="11"/>
      <c r="C43" s="11"/>
      <c r="D43" s="73"/>
      <c r="E43" s="73"/>
      <c r="F43" s="73"/>
      <c r="G43" s="73"/>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5" t="s">
        <v>250</v>
      </c>
      <c r="AN43" s="18">
        <f>COUNTIF(AN4:AN36,"Block")</f>
        <v>0</v>
      </c>
      <c r="AO43" s="18">
        <f>COUNTIF(AO4:AO36,"Block")</f>
        <v>0</v>
      </c>
      <c r="AP43" s="11"/>
      <c r="AQ43" s="11"/>
      <c r="AR43" s="11"/>
      <c r="AS43" s="11"/>
      <c r="AT43" s="11"/>
      <c r="AU43" s="11"/>
      <c r="AV43" s="11"/>
      <c r="AW43" s="11"/>
      <c r="AX43" s="11"/>
      <c r="AY43" s="11"/>
      <c r="AZ43" s="11"/>
      <c r="BA43" s="11"/>
      <c r="BB43" s="11"/>
      <c r="BC43" s="11"/>
      <c r="BD43" s="11"/>
      <c r="BE43" s="11"/>
    </row>
    <row r="44" spans="1:57" ht="15.75" customHeight="1">
      <c r="A44" s="11"/>
      <c r="B44" s="11"/>
      <c r="C44" s="11"/>
      <c r="D44" s="73"/>
      <c r="E44" s="73"/>
      <c r="F44" s="73"/>
      <c r="G44" s="73"/>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5" t="s">
        <v>251</v>
      </c>
      <c r="AN44" s="16">
        <f>COUNTIF(AN4:AN36,"Passed")</f>
        <v>26</v>
      </c>
      <c r="AO44" s="16">
        <f>COUNTIF(AO4:AO36,"Passed")</f>
        <v>29</v>
      </c>
      <c r="AP44" s="11"/>
      <c r="AQ44" s="11"/>
      <c r="AR44" s="11"/>
      <c r="AS44" s="11"/>
      <c r="AT44" s="11"/>
      <c r="AU44" s="11"/>
      <c r="AV44" s="11"/>
      <c r="AW44" s="11"/>
      <c r="AX44" s="11"/>
      <c r="AY44" s="11"/>
      <c r="AZ44" s="11"/>
      <c r="BA44" s="11"/>
      <c r="BB44" s="11"/>
      <c r="BC44" s="11"/>
      <c r="BD44" s="11"/>
      <c r="BE44" s="11"/>
    </row>
    <row r="45" spans="1:57" ht="15.75" customHeight="1">
      <c r="A45" s="11"/>
      <c r="B45" s="11"/>
      <c r="C45" s="11"/>
      <c r="D45" s="12"/>
      <c r="E45" s="12"/>
      <c r="F45" s="12"/>
      <c r="G45" s="12"/>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2"/>
      <c r="AN45" s="12"/>
      <c r="AO45" s="12"/>
      <c r="AP45" s="11"/>
      <c r="AQ45" s="11"/>
      <c r="AR45" s="11"/>
      <c r="AS45" s="11"/>
      <c r="AT45" s="11"/>
      <c r="AU45" s="11"/>
      <c r="AV45" s="11"/>
      <c r="AW45" s="11"/>
      <c r="AX45" s="11"/>
      <c r="AY45" s="11"/>
      <c r="AZ45" s="11"/>
      <c r="BA45" s="11"/>
      <c r="BB45" s="11"/>
      <c r="BC45" s="11"/>
      <c r="BD45" s="11"/>
      <c r="BE45" s="11"/>
    </row>
    <row r="46" spans="1:57" ht="15.75" customHeight="1">
      <c r="A46" s="11"/>
      <c r="B46" s="11"/>
      <c r="C46" s="11"/>
      <c r="D46" s="13"/>
      <c r="E46" s="13"/>
      <c r="F46" s="13"/>
      <c r="G46" s="13"/>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2"/>
      <c r="AN46" s="14" t="s">
        <v>51</v>
      </c>
      <c r="AO46" s="14" t="s">
        <v>52</v>
      </c>
      <c r="AP46" s="11"/>
      <c r="AQ46" s="11"/>
      <c r="AR46" s="11"/>
      <c r="AS46" s="11"/>
      <c r="AT46" s="11"/>
      <c r="AU46" s="11"/>
      <c r="AV46" s="11"/>
      <c r="AW46" s="11"/>
      <c r="AX46" s="11"/>
      <c r="AY46" s="11"/>
      <c r="AZ46" s="11"/>
      <c r="BA46" s="11"/>
      <c r="BB46" s="11"/>
      <c r="BC46" s="11"/>
      <c r="BD46" s="11"/>
      <c r="BE46" s="11"/>
    </row>
    <row r="47" spans="1:57" ht="15.75" customHeight="1">
      <c r="A47" s="11"/>
      <c r="B47" s="11"/>
      <c r="C47" s="11"/>
      <c r="D47" s="74"/>
      <c r="E47" s="74"/>
      <c r="F47" s="74"/>
      <c r="G47" s="74"/>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5" t="s">
        <v>252</v>
      </c>
      <c r="AN47" s="19">
        <f t="shared" ref="AN47" si="0">AN44/(AN44+AN39+AN40+AN42)</f>
        <v>1</v>
      </c>
      <c r="AO47" s="19">
        <f>AO44/(AO44+AO39+AO40+AO42)</f>
        <v>1</v>
      </c>
      <c r="AP47" s="11"/>
      <c r="AQ47" s="11"/>
      <c r="AR47" s="11"/>
      <c r="AS47" s="11"/>
      <c r="AT47" s="11"/>
      <c r="AU47" s="11"/>
      <c r="AV47" s="11"/>
      <c r="AW47" s="11"/>
      <c r="AX47" s="11"/>
      <c r="AY47" s="11"/>
      <c r="AZ47" s="11"/>
      <c r="BA47" s="11"/>
      <c r="BB47" s="11"/>
      <c r="BC47" s="11"/>
      <c r="BD47" s="11"/>
      <c r="BE47" s="11"/>
    </row>
    <row r="48" spans="1:57"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row>
    <row r="49" spans="1:57" ht="15.75" customHeight="1">
      <c r="A49" s="11"/>
      <c r="B49" s="11"/>
      <c r="C49" s="11"/>
      <c r="D49" s="11"/>
      <c r="E49" s="11"/>
      <c r="F49" s="11"/>
      <c r="G49" s="11"/>
      <c r="H49" s="11"/>
      <c r="I49" s="11"/>
      <c r="J49" s="17"/>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row>
    <row r="50" spans="1:57" ht="15.75" customHeight="1">
      <c r="A50" s="11"/>
      <c r="B50" s="11"/>
      <c r="C50" s="11"/>
      <c r="D50" s="11"/>
      <c r="E50" s="11"/>
      <c r="F50" s="11"/>
      <c r="G50" s="11"/>
      <c r="H50" s="11"/>
      <c r="I50" s="11"/>
      <c r="J50" s="17"/>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row>
    <row r="51" spans="1:57" ht="15.75" customHeight="1">
      <c r="A51" s="11"/>
      <c r="B51" s="11"/>
      <c r="C51" s="11"/>
      <c r="D51" s="11"/>
      <c r="E51" s="11"/>
      <c r="F51" s="11"/>
      <c r="G51" s="11"/>
      <c r="H51" s="11"/>
      <c r="I51" s="11"/>
      <c r="J51" s="17"/>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row>
    <row r="52" spans="1:57" ht="15.75" customHeight="1">
      <c r="A52" s="11"/>
      <c r="B52" s="11"/>
      <c r="C52" s="11"/>
      <c r="D52" s="11"/>
      <c r="E52" s="11"/>
      <c r="F52" s="11"/>
      <c r="G52" s="11"/>
      <c r="H52" s="11"/>
      <c r="I52" s="11"/>
      <c r="J52" s="17"/>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row>
    <row r="53" spans="1:57" ht="15.75" customHeight="1">
      <c r="A53" s="11"/>
      <c r="B53" s="11"/>
      <c r="C53" s="11"/>
      <c r="D53" s="11"/>
      <c r="E53" s="11"/>
      <c r="F53" s="11"/>
      <c r="G53" s="11"/>
      <c r="H53" s="11"/>
      <c r="I53" s="11"/>
      <c r="J53" s="17"/>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row>
    <row r="54" spans="1:57" ht="15.75" customHeight="1">
      <c r="A54" s="11"/>
      <c r="B54" s="11"/>
      <c r="C54" s="11"/>
      <c r="D54" s="11"/>
      <c r="E54" s="11"/>
      <c r="F54" s="11"/>
      <c r="G54" s="11"/>
      <c r="H54" s="11"/>
      <c r="I54" s="11"/>
      <c r="J54" s="17"/>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row>
    <row r="55" spans="1:57" ht="15.75" customHeight="1">
      <c r="A55" s="11"/>
      <c r="B55" s="11"/>
      <c r="C55" s="11"/>
      <c r="D55" s="11"/>
      <c r="E55" s="11"/>
      <c r="F55" s="11"/>
      <c r="G55" s="11"/>
      <c r="H55" s="11"/>
      <c r="I55" s="11"/>
      <c r="J55" s="17"/>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row>
    <row r="56" spans="1:57" ht="15.75" customHeight="1">
      <c r="A56" s="11"/>
      <c r="B56" s="11"/>
      <c r="C56" s="11"/>
      <c r="D56" s="11"/>
      <c r="E56" s="11"/>
      <c r="F56" s="11"/>
      <c r="G56" s="11"/>
      <c r="H56" s="11"/>
      <c r="I56" s="11"/>
      <c r="J56" s="17"/>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row>
    <row r="57" spans="1:57" ht="15.75" customHeight="1">
      <c r="A57" s="11"/>
      <c r="B57" s="11"/>
      <c r="C57" s="11"/>
      <c r="D57" s="11"/>
      <c r="E57" s="11"/>
      <c r="F57" s="11"/>
      <c r="G57" s="11"/>
      <c r="H57" s="11"/>
      <c r="I57" s="11"/>
      <c r="J57" s="17"/>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row>
    <row r="58" spans="1:57" ht="15.75" customHeight="1">
      <c r="A58" s="11"/>
      <c r="B58" s="11"/>
      <c r="C58" s="11"/>
      <c r="D58" s="11"/>
      <c r="E58" s="11"/>
      <c r="F58" s="11"/>
      <c r="G58" s="11"/>
      <c r="H58" s="11"/>
      <c r="I58" s="11"/>
      <c r="J58" s="17"/>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row>
    <row r="59" spans="1:57" ht="15.75" customHeight="1">
      <c r="A59" s="11"/>
      <c r="B59" s="11"/>
      <c r="C59" s="11"/>
      <c r="D59" s="11"/>
      <c r="E59" s="11"/>
      <c r="F59" s="11"/>
      <c r="G59" s="11"/>
      <c r="H59" s="11"/>
      <c r="I59" s="11"/>
      <c r="J59" s="17"/>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row>
    <row r="60" spans="1:57" ht="15.75" customHeight="1">
      <c r="A60" s="11"/>
      <c r="B60" s="11"/>
      <c r="C60" s="11"/>
      <c r="D60" s="11"/>
      <c r="E60" s="11"/>
      <c r="F60" s="11"/>
      <c r="G60" s="11"/>
      <c r="H60" s="11"/>
      <c r="I60" s="11"/>
      <c r="J60" s="17"/>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row>
    <row r="61" spans="1:57" ht="15.75" customHeight="1">
      <c r="A61" s="11"/>
      <c r="B61" s="11"/>
      <c r="C61" s="11"/>
      <c r="D61" s="11"/>
      <c r="E61" s="11"/>
      <c r="F61" s="11"/>
      <c r="G61" s="11"/>
      <c r="H61" s="11"/>
      <c r="I61" s="11"/>
      <c r="J61" s="17"/>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row>
    <row r="62" spans="1:57" ht="15.75" customHeight="1">
      <c r="A62" s="11"/>
      <c r="B62" s="11"/>
      <c r="C62" s="11"/>
      <c r="D62" s="11"/>
      <c r="E62" s="11"/>
      <c r="F62" s="11"/>
      <c r="G62" s="11"/>
      <c r="H62" s="11"/>
      <c r="I62" s="11"/>
      <c r="J62" s="17"/>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row>
    <row r="63" spans="1:57" ht="15.75" customHeight="1">
      <c r="A63" s="11"/>
      <c r="B63" s="11"/>
      <c r="C63" s="11"/>
      <c r="D63" s="11"/>
      <c r="E63" s="11"/>
      <c r="F63" s="11"/>
      <c r="G63" s="11"/>
      <c r="H63" s="11"/>
      <c r="I63" s="11"/>
      <c r="J63" s="17"/>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row>
    <row r="64" spans="1:57" ht="15.75" customHeight="1">
      <c r="A64" s="11"/>
      <c r="B64" s="11"/>
      <c r="C64" s="11"/>
      <c r="D64" s="11"/>
      <c r="E64" s="11"/>
      <c r="F64" s="11"/>
      <c r="G64" s="11"/>
      <c r="H64" s="11"/>
      <c r="I64" s="11"/>
      <c r="J64" s="17"/>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row>
    <row r="65" spans="1:57" ht="15.75" customHeight="1">
      <c r="A65" s="11"/>
      <c r="B65" s="11"/>
      <c r="C65" s="11"/>
      <c r="D65" s="11"/>
      <c r="E65" s="11"/>
      <c r="F65" s="11"/>
      <c r="G65" s="11"/>
      <c r="H65" s="11"/>
      <c r="I65" s="11"/>
      <c r="J65" s="17"/>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row>
    <row r="66" spans="1:57" ht="15.75" customHeight="1">
      <c r="A66" s="11"/>
      <c r="B66" s="11"/>
      <c r="C66" s="11"/>
      <c r="D66" s="11"/>
      <c r="E66" s="11"/>
      <c r="F66" s="11"/>
      <c r="G66" s="11"/>
      <c r="H66" s="11"/>
      <c r="I66" s="11"/>
      <c r="J66" s="17"/>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row>
    <row r="67" spans="1:57" ht="15.75" customHeight="1">
      <c r="A67" s="11"/>
      <c r="B67" s="11"/>
      <c r="C67" s="11"/>
      <c r="D67" s="11"/>
      <c r="E67" s="11"/>
      <c r="F67" s="11"/>
      <c r="G67" s="11"/>
      <c r="H67" s="11"/>
      <c r="I67" s="11"/>
      <c r="J67" s="17"/>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row>
    <row r="68" spans="1:57" ht="15.75" customHeight="1">
      <c r="A68" s="11"/>
      <c r="B68" s="11"/>
      <c r="C68" s="11"/>
      <c r="D68" s="11"/>
      <c r="E68" s="11"/>
      <c r="F68" s="11"/>
      <c r="G68" s="11"/>
      <c r="H68" s="11"/>
      <c r="I68" s="11"/>
      <c r="J68" s="17"/>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row>
    <row r="69" spans="1:57" ht="15.75" customHeight="1">
      <c r="A69" s="11"/>
      <c r="B69" s="11"/>
      <c r="C69" s="11"/>
      <c r="D69" s="11"/>
      <c r="E69" s="11"/>
      <c r="F69" s="11"/>
      <c r="G69" s="11"/>
      <c r="H69" s="11"/>
      <c r="I69" s="11"/>
      <c r="J69" s="17"/>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row>
    <row r="70" spans="1:57" ht="15.75" customHeight="1">
      <c r="A70" s="11"/>
      <c r="B70" s="11"/>
      <c r="C70" s="11"/>
      <c r="D70" s="11"/>
      <c r="E70" s="11"/>
      <c r="F70" s="11"/>
      <c r="G70" s="11"/>
      <c r="H70" s="11"/>
      <c r="I70" s="11"/>
      <c r="J70" s="17"/>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row>
    <row r="71" spans="1:57" ht="15.75" customHeight="1">
      <c r="A71" s="11"/>
      <c r="B71" s="11"/>
      <c r="C71" s="11"/>
      <c r="D71" s="11"/>
      <c r="E71" s="11"/>
      <c r="F71" s="11"/>
      <c r="G71" s="11"/>
      <c r="H71" s="11"/>
      <c r="I71" s="11"/>
      <c r="J71" s="17"/>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row>
    <row r="72" spans="1:57" ht="15.75" customHeight="1">
      <c r="A72" s="11"/>
      <c r="B72" s="11"/>
      <c r="C72" s="11"/>
      <c r="D72" s="11"/>
      <c r="E72" s="11"/>
      <c r="F72" s="11"/>
      <c r="G72" s="11"/>
      <c r="H72" s="11"/>
      <c r="I72" s="11"/>
      <c r="J72" s="17"/>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row>
    <row r="73" spans="1:57" ht="15.75" customHeight="1">
      <c r="A73" s="11"/>
      <c r="B73" s="11"/>
      <c r="C73" s="11"/>
      <c r="D73" s="11"/>
      <c r="E73" s="11"/>
      <c r="F73" s="11"/>
      <c r="G73" s="11"/>
      <c r="H73" s="11"/>
      <c r="I73" s="11"/>
      <c r="J73" s="17"/>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row>
    <row r="74" spans="1:57" ht="15.75" customHeight="1">
      <c r="A74" s="11"/>
      <c r="B74" s="11"/>
      <c r="C74" s="11"/>
      <c r="D74" s="11"/>
      <c r="E74" s="11"/>
      <c r="F74" s="11"/>
      <c r="G74" s="11"/>
      <c r="H74" s="11"/>
      <c r="I74" s="11"/>
      <c r="J74" s="17"/>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row>
    <row r="75" spans="1:57" ht="15.75" customHeight="1">
      <c r="A75" s="11"/>
      <c r="B75" s="11"/>
      <c r="C75" s="11"/>
      <c r="D75" s="11"/>
      <c r="E75" s="11"/>
      <c r="F75" s="11"/>
      <c r="G75" s="11"/>
      <c r="H75" s="11"/>
      <c r="I75" s="11"/>
      <c r="J75" s="17"/>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row>
    <row r="76" spans="1:57" ht="15.75" customHeight="1">
      <c r="A76" s="11"/>
      <c r="B76" s="11"/>
      <c r="C76" s="11"/>
      <c r="D76" s="11"/>
      <c r="E76" s="11"/>
      <c r="F76" s="11"/>
      <c r="G76" s="11"/>
      <c r="H76" s="11"/>
      <c r="I76" s="11"/>
      <c r="J76" s="17"/>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row>
    <row r="77" spans="1:57" ht="15.75" customHeight="1">
      <c r="A77" s="11"/>
      <c r="B77" s="11"/>
      <c r="C77" s="11"/>
      <c r="D77" s="11"/>
      <c r="E77" s="11"/>
      <c r="F77" s="11"/>
      <c r="G77" s="11"/>
      <c r="H77" s="11"/>
      <c r="I77" s="11"/>
      <c r="J77" s="17"/>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row>
    <row r="78" spans="1:57" ht="15.75" customHeight="1">
      <c r="A78" s="11"/>
      <c r="B78" s="11"/>
      <c r="C78" s="11"/>
      <c r="D78" s="11"/>
      <c r="E78" s="11"/>
      <c r="F78" s="11"/>
      <c r="G78" s="11"/>
      <c r="H78" s="11"/>
      <c r="I78" s="11"/>
      <c r="J78" s="17"/>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row>
    <row r="79" spans="1:57" ht="15.75" customHeight="1">
      <c r="A79" s="11"/>
      <c r="B79" s="11"/>
      <c r="C79" s="11"/>
      <c r="D79" s="11"/>
      <c r="E79" s="11"/>
      <c r="F79" s="11"/>
      <c r="G79" s="11"/>
      <c r="H79" s="11"/>
      <c r="I79" s="11"/>
      <c r="J79" s="17"/>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row>
    <row r="80" spans="1:57" ht="15.75" customHeight="1">
      <c r="A80" s="11"/>
      <c r="B80" s="11"/>
      <c r="C80" s="11"/>
      <c r="D80" s="11"/>
      <c r="E80" s="11"/>
      <c r="F80" s="11"/>
      <c r="G80" s="11"/>
      <c r="H80" s="11"/>
      <c r="I80" s="11"/>
      <c r="J80" s="17"/>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row>
    <row r="81" spans="1:57" ht="15.75" customHeight="1">
      <c r="A81" s="11"/>
      <c r="B81" s="11"/>
      <c r="C81" s="11"/>
      <c r="D81" s="11"/>
      <c r="E81" s="11"/>
      <c r="F81" s="11"/>
      <c r="G81" s="11"/>
      <c r="H81" s="11"/>
      <c r="I81" s="11"/>
      <c r="J81" s="17"/>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row>
    <row r="82" spans="1:57" ht="15.75" customHeight="1">
      <c r="A82" s="11"/>
      <c r="B82" s="11"/>
      <c r="C82" s="11"/>
      <c r="D82" s="11"/>
      <c r="E82" s="11"/>
      <c r="F82" s="11"/>
      <c r="G82" s="11"/>
      <c r="H82" s="11"/>
      <c r="I82" s="11"/>
      <c r="J82" s="17"/>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row>
    <row r="83" spans="1:57" ht="15.75" customHeight="1">
      <c r="A83" s="11"/>
      <c r="B83" s="11"/>
      <c r="C83" s="11"/>
      <c r="D83" s="11"/>
      <c r="E83" s="11"/>
      <c r="F83" s="11"/>
      <c r="G83" s="11"/>
      <c r="H83" s="11"/>
      <c r="I83" s="11"/>
      <c r="J83" s="17"/>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row>
    <row r="84" spans="1:57" ht="15.75" customHeight="1">
      <c r="A84" s="11"/>
      <c r="B84" s="11"/>
      <c r="C84" s="11"/>
      <c r="D84" s="11"/>
      <c r="E84" s="11"/>
      <c r="F84" s="11"/>
      <c r="G84" s="11"/>
      <c r="H84" s="11"/>
      <c r="I84" s="11"/>
      <c r="J84" s="17"/>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row>
    <row r="85" spans="1:57" ht="15.75" customHeight="1">
      <c r="A85" s="11"/>
      <c r="B85" s="11"/>
      <c r="C85" s="11"/>
      <c r="D85" s="11"/>
      <c r="E85" s="11"/>
      <c r="F85" s="11"/>
      <c r="G85" s="11"/>
      <c r="H85" s="11"/>
      <c r="I85" s="11"/>
      <c r="J85" s="17"/>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row>
    <row r="86" spans="1:57" ht="15.75" customHeight="1">
      <c r="A86" s="11"/>
      <c r="B86" s="11"/>
      <c r="C86" s="11"/>
      <c r="D86" s="11"/>
      <c r="E86" s="11"/>
      <c r="F86" s="11"/>
      <c r="G86" s="11"/>
      <c r="H86" s="11"/>
      <c r="I86" s="11"/>
      <c r="J86" s="17"/>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row>
    <row r="87" spans="1:57" ht="15.75" customHeight="1">
      <c r="A87" s="11"/>
      <c r="B87" s="11"/>
      <c r="C87" s="11"/>
      <c r="D87" s="11"/>
      <c r="E87" s="11"/>
      <c r="F87" s="11"/>
      <c r="G87" s="11"/>
      <c r="H87" s="11"/>
      <c r="I87" s="11"/>
      <c r="J87" s="17"/>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row>
    <row r="88" spans="1:57" ht="15.75" customHeight="1">
      <c r="A88" s="11"/>
      <c r="B88" s="11"/>
      <c r="C88" s="11"/>
      <c r="D88" s="11"/>
      <c r="E88" s="11"/>
      <c r="F88" s="11"/>
      <c r="G88" s="11"/>
      <c r="H88" s="11"/>
      <c r="I88" s="11"/>
      <c r="J88" s="17"/>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row>
    <row r="89" spans="1:57" ht="15.75" customHeight="1">
      <c r="A89" s="11"/>
      <c r="B89" s="11"/>
      <c r="C89" s="11"/>
      <c r="D89" s="11"/>
      <c r="E89" s="11"/>
      <c r="F89" s="11"/>
      <c r="G89" s="11"/>
      <c r="H89" s="11"/>
      <c r="I89" s="11"/>
      <c r="J89" s="17"/>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row>
    <row r="90" spans="1:57" ht="15.75" customHeight="1">
      <c r="A90" s="11"/>
      <c r="B90" s="11"/>
      <c r="C90" s="11"/>
      <c r="D90" s="11"/>
      <c r="E90" s="11"/>
      <c r="F90" s="11"/>
      <c r="G90" s="11"/>
      <c r="H90" s="11"/>
      <c r="I90" s="11"/>
      <c r="J90" s="17"/>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row>
    <row r="91" spans="1:57" ht="15.75" customHeight="1">
      <c r="A91" s="11"/>
      <c r="B91" s="11"/>
      <c r="C91" s="11"/>
      <c r="D91" s="11"/>
      <c r="E91" s="11"/>
      <c r="F91" s="11"/>
      <c r="G91" s="11"/>
      <c r="H91" s="11"/>
      <c r="I91" s="11"/>
      <c r="J91" s="17"/>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row>
    <row r="92" spans="1:57" ht="15.75" customHeight="1">
      <c r="A92" s="11"/>
      <c r="B92" s="11"/>
      <c r="C92" s="11"/>
      <c r="D92" s="11"/>
      <c r="E92" s="11"/>
      <c r="F92" s="11"/>
      <c r="G92" s="11"/>
      <c r="H92" s="11"/>
      <c r="I92" s="11"/>
      <c r="J92" s="17"/>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row>
    <row r="93" spans="1:57" ht="15.75" customHeight="1">
      <c r="A93" s="11"/>
      <c r="B93" s="11"/>
      <c r="C93" s="11"/>
      <c r="D93" s="11"/>
      <c r="E93" s="11"/>
      <c r="F93" s="11"/>
      <c r="G93" s="11"/>
      <c r="H93" s="11"/>
      <c r="I93" s="11"/>
      <c r="J93" s="17"/>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row>
    <row r="94" spans="1:57" ht="15.75" customHeight="1">
      <c r="A94" s="11"/>
      <c r="B94" s="11"/>
      <c r="C94" s="11"/>
      <c r="D94" s="11"/>
      <c r="E94" s="11"/>
      <c r="F94" s="11"/>
      <c r="G94" s="11"/>
      <c r="H94" s="11"/>
      <c r="I94" s="11"/>
      <c r="J94" s="17"/>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row>
    <row r="95" spans="1:57" ht="15.75" customHeight="1">
      <c r="A95" s="11"/>
      <c r="B95" s="11"/>
      <c r="C95" s="11"/>
      <c r="D95" s="11"/>
      <c r="E95" s="11"/>
      <c r="F95" s="11"/>
      <c r="G95" s="11"/>
      <c r="H95" s="11"/>
      <c r="I95" s="11"/>
      <c r="J95" s="17"/>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row>
    <row r="96" spans="1:57" ht="15.75" customHeight="1">
      <c r="A96" s="11"/>
      <c r="B96" s="11"/>
      <c r="C96" s="11"/>
      <c r="D96" s="11"/>
      <c r="E96" s="11"/>
      <c r="F96" s="11"/>
      <c r="G96" s="11"/>
      <c r="H96" s="11"/>
      <c r="I96" s="11"/>
      <c r="J96" s="17"/>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row>
    <row r="97" spans="1:57" ht="15.75" customHeight="1">
      <c r="A97" s="11"/>
      <c r="B97" s="11"/>
      <c r="C97" s="11"/>
      <c r="D97" s="11"/>
      <c r="E97" s="11"/>
      <c r="F97" s="11"/>
      <c r="G97" s="11"/>
      <c r="H97" s="11"/>
      <c r="I97" s="11"/>
      <c r="J97" s="17"/>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row>
    <row r="98" spans="1:57" ht="15.75" customHeight="1">
      <c r="A98" s="11"/>
      <c r="B98" s="11"/>
      <c r="C98" s="11"/>
      <c r="D98" s="11"/>
      <c r="E98" s="11"/>
      <c r="F98" s="11"/>
      <c r="G98" s="11"/>
      <c r="H98" s="11"/>
      <c r="I98" s="11"/>
      <c r="J98" s="17"/>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row>
    <row r="99" spans="1:57" ht="15.75" customHeight="1">
      <c r="A99" s="11"/>
      <c r="B99" s="11"/>
      <c r="C99" s="11"/>
      <c r="D99" s="11"/>
      <c r="E99" s="11"/>
      <c r="F99" s="11"/>
      <c r="G99" s="11"/>
      <c r="H99" s="11"/>
      <c r="I99" s="11"/>
      <c r="J99" s="17"/>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row>
    <row r="100" spans="1:57" ht="15.75" customHeight="1">
      <c r="A100" s="11"/>
      <c r="B100" s="11"/>
      <c r="C100" s="11"/>
      <c r="D100" s="11"/>
      <c r="E100" s="11"/>
      <c r="F100" s="11"/>
      <c r="G100" s="11"/>
      <c r="H100" s="11"/>
      <c r="I100" s="11"/>
      <c r="J100" s="17"/>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row>
    <row r="101" spans="1:57" ht="15.75" customHeight="1">
      <c r="A101" s="11"/>
      <c r="B101" s="11"/>
      <c r="C101" s="11"/>
      <c r="D101" s="11"/>
      <c r="E101" s="11"/>
      <c r="F101" s="11"/>
      <c r="G101" s="11"/>
      <c r="H101" s="11"/>
      <c r="I101" s="11"/>
      <c r="J101" s="17"/>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row>
    <row r="102" spans="1:57" ht="15.75" customHeight="1">
      <c r="A102" s="11"/>
      <c r="B102" s="11"/>
      <c r="C102" s="11"/>
      <c r="D102" s="11"/>
      <c r="E102" s="11"/>
      <c r="F102" s="11"/>
      <c r="G102" s="11"/>
      <c r="H102" s="11"/>
      <c r="I102" s="11"/>
      <c r="J102" s="17"/>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row>
    <row r="103" spans="1:57" ht="15.75" customHeight="1">
      <c r="A103" s="11"/>
      <c r="B103" s="11"/>
      <c r="C103" s="11"/>
      <c r="D103" s="11"/>
      <c r="E103" s="11"/>
      <c r="F103" s="11"/>
      <c r="G103" s="11"/>
      <c r="H103" s="11"/>
      <c r="I103" s="11"/>
      <c r="J103" s="17"/>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row>
    <row r="104" spans="1:57" ht="15.75" customHeight="1">
      <c r="A104" s="11"/>
      <c r="B104" s="11"/>
      <c r="C104" s="11"/>
      <c r="D104" s="11"/>
      <c r="E104" s="11"/>
      <c r="F104" s="11"/>
      <c r="G104" s="11"/>
      <c r="H104" s="11"/>
      <c r="I104" s="11"/>
      <c r="J104" s="17"/>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row>
    <row r="105" spans="1:57" ht="15.75" customHeight="1">
      <c r="A105" s="11"/>
      <c r="B105" s="11"/>
      <c r="C105" s="11"/>
      <c r="D105" s="11"/>
      <c r="E105" s="11"/>
      <c r="F105" s="11"/>
      <c r="G105" s="11"/>
      <c r="H105" s="11"/>
      <c r="I105" s="11"/>
      <c r="J105" s="17"/>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row>
    <row r="106" spans="1:57" ht="15.75" customHeight="1">
      <c r="A106" s="11"/>
      <c r="B106" s="11"/>
      <c r="C106" s="11"/>
      <c r="D106" s="11"/>
      <c r="E106" s="11"/>
      <c r="F106" s="11"/>
      <c r="G106" s="11"/>
      <c r="H106" s="11"/>
      <c r="I106" s="11"/>
      <c r="J106" s="17"/>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row>
    <row r="107" spans="1:57" ht="15.75" customHeight="1">
      <c r="A107" s="11"/>
      <c r="B107" s="11"/>
      <c r="C107" s="11"/>
      <c r="D107" s="11"/>
      <c r="E107" s="11"/>
      <c r="F107" s="11"/>
      <c r="G107" s="11"/>
      <c r="H107" s="11"/>
      <c r="I107" s="11"/>
      <c r="J107" s="17"/>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row>
    <row r="108" spans="1:57" ht="15.75" customHeight="1">
      <c r="A108" s="11"/>
      <c r="B108" s="11"/>
      <c r="C108" s="11"/>
      <c r="D108" s="11"/>
      <c r="E108" s="11"/>
      <c r="F108" s="11"/>
      <c r="G108" s="11"/>
      <c r="H108" s="11"/>
      <c r="I108" s="11"/>
      <c r="J108" s="17"/>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row>
    <row r="109" spans="1:57" ht="15.75" customHeight="1">
      <c r="A109" s="11"/>
      <c r="B109" s="11"/>
      <c r="C109" s="11"/>
      <c r="D109" s="11"/>
      <c r="E109" s="11"/>
      <c r="F109" s="11"/>
      <c r="G109" s="11"/>
      <c r="H109" s="11"/>
      <c r="I109" s="11"/>
      <c r="J109" s="17"/>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row>
    <row r="110" spans="1:57" ht="15.75" customHeight="1">
      <c r="A110" s="11"/>
      <c r="B110" s="11"/>
      <c r="C110" s="11"/>
      <c r="D110" s="11"/>
      <c r="E110" s="11"/>
      <c r="F110" s="11"/>
      <c r="G110" s="11"/>
      <c r="H110" s="11"/>
      <c r="I110" s="11"/>
      <c r="J110" s="17"/>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row>
    <row r="111" spans="1:57" ht="15.75" customHeight="1">
      <c r="A111" s="11"/>
      <c r="B111" s="11"/>
      <c r="C111" s="11"/>
      <c r="D111" s="11"/>
      <c r="E111" s="11"/>
      <c r="F111" s="11"/>
      <c r="G111" s="11"/>
      <c r="H111" s="11"/>
      <c r="I111" s="11"/>
      <c r="J111" s="17"/>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row>
    <row r="112" spans="1:57" ht="15.75" customHeight="1">
      <c r="A112" s="11"/>
      <c r="B112" s="11"/>
      <c r="C112" s="11"/>
      <c r="D112" s="11"/>
      <c r="E112" s="11"/>
      <c r="F112" s="11"/>
      <c r="G112" s="11"/>
      <c r="H112" s="11"/>
      <c r="I112" s="11"/>
      <c r="J112" s="17"/>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row>
    <row r="113" spans="1:57" ht="15.75" customHeight="1">
      <c r="A113" s="11"/>
      <c r="B113" s="11"/>
      <c r="C113" s="11"/>
      <c r="D113" s="11"/>
      <c r="E113" s="11"/>
      <c r="F113" s="11"/>
      <c r="G113" s="11"/>
      <c r="H113" s="11"/>
      <c r="I113" s="11"/>
      <c r="J113" s="17"/>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row>
    <row r="114" spans="1:57" ht="15.75" customHeight="1">
      <c r="A114" s="11"/>
      <c r="B114" s="11"/>
      <c r="C114" s="11"/>
      <c r="D114" s="11"/>
      <c r="E114" s="11"/>
      <c r="F114" s="11"/>
      <c r="G114" s="11"/>
      <c r="H114" s="11"/>
      <c r="I114" s="11"/>
      <c r="J114" s="17"/>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row>
    <row r="115" spans="1:57" ht="15.75" customHeight="1">
      <c r="A115" s="11"/>
      <c r="B115" s="11"/>
      <c r="C115" s="11"/>
      <c r="D115" s="11"/>
      <c r="E115" s="11"/>
      <c r="F115" s="11"/>
      <c r="G115" s="11"/>
      <c r="H115" s="11"/>
      <c r="I115" s="11"/>
      <c r="J115" s="17"/>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row>
    <row r="116" spans="1:57" ht="15.75" customHeight="1">
      <c r="A116" s="11"/>
      <c r="B116" s="11"/>
      <c r="C116" s="11"/>
      <c r="D116" s="11"/>
      <c r="E116" s="11"/>
      <c r="F116" s="11"/>
      <c r="G116" s="11"/>
      <c r="H116" s="11"/>
      <c r="I116" s="11"/>
      <c r="J116" s="17"/>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row>
    <row r="117" spans="1:57" ht="15.75" customHeight="1">
      <c r="A117" s="11"/>
      <c r="B117" s="11"/>
      <c r="C117" s="11"/>
      <c r="D117" s="11"/>
      <c r="E117" s="11"/>
      <c r="F117" s="11"/>
      <c r="G117" s="11"/>
      <c r="H117" s="11"/>
      <c r="I117" s="11"/>
      <c r="J117" s="17"/>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row>
    <row r="118" spans="1:57" ht="15.75" customHeight="1">
      <c r="A118" s="11"/>
      <c r="B118" s="11"/>
      <c r="C118" s="11"/>
      <c r="D118" s="11"/>
      <c r="E118" s="11"/>
      <c r="F118" s="11"/>
      <c r="G118" s="11"/>
      <c r="H118" s="11"/>
      <c r="I118" s="11"/>
      <c r="J118" s="17"/>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row>
    <row r="119" spans="1:57" ht="15.75" customHeight="1">
      <c r="A119" s="11"/>
      <c r="B119" s="11"/>
      <c r="C119" s="11"/>
      <c r="D119" s="11"/>
      <c r="E119" s="11"/>
      <c r="F119" s="11"/>
      <c r="G119" s="11"/>
      <c r="H119" s="11"/>
      <c r="I119" s="11"/>
      <c r="J119" s="17"/>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row>
    <row r="120" spans="1:57" ht="15.75" customHeight="1">
      <c r="A120" s="11"/>
      <c r="B120" s="11"/>
      <c r="C120" s="11"/>
      <c r="D120" s="11"/>
      <c r="E120" s="11"/>
      <c r="F120" s="11"/>
      <c r="G120" s="11"/>
      <c r="H120" s="11"/>
      <c r="I120" s="11"/>
      <c r="J120" s="17"/>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row>
    <row r="121" spans="1:57" ht="15.75" customHeight="1">
      <c r="A121" s="11"/>
      <c r="B121" s="11"/>
      <c r="C121" s="11"/>
      <c r="D121" s="11"/>
      <c r="E121" s="11"/>
      <c r="F121" s="11"/>
      <c r="G121" s="11"/>
      <c r="H121" s="11"/>
      <c r="I121" s="11"/>
      <c r="J121" s="17"/>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row>
    <row r="122" spans="1:57" ht="15.75" customHeight="1">
      <c r="A122" s="11"/>
      <c r="B122" s="11"/>
      <c r="C122" s="11"/>
      <c r="D122" s="11"/>
      <c r="E122" s="11"/>
      <c r="F122" s="11"/>
      <c r="G122" s="11"/>
      <c r="H122" s="11"/>
      <c r="I122" s="11"/>
      <c r="J122" s="17"/>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row>
    <row r="123" spans="1:57" ht="15.75" customHeight="1">
      <c r="A123" s="11"/>
      <c r="B123" s="11"/>
      <c r="C123" s="11"/>
      <c r="D123" s="11"/>
      <c r="E123" s="11"/>
      <c r="F123" s="11"/>
      <c r="G123" s="11"/>
      <c r="H123" s="11"/>
      <c r="I123" s="11"/>
      <c r="J123" s="17"/>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row>
    <row r="124" spans="1:57" ht="15.75" customHeight="1">
      <c r="A124" s="11"/>
      <c r="B124" s="11"/>
      <c r="C124" s="11"/>
      <c r="D124" s="11"/>
      <c r="E124" s="11"/>
      <c r="F124" s="11"/>
      <c r="G124" s="11"/>
      <c r="H124" s="11"/>
      <c r="I124" s="11"/>
      <c r="J124" s="17"/>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row>
    <row r="125" spans="1:57" ht="15.75" customHeight="1">
      <c r="A125" s="11"/>
      <c r="B125" s="11"/>
      <c r="C125" s="11"/>
      <c r="D125" s="11"/>
      <c r="E125" s="11"/>
      <c r="F125" s="11"/>
      <c r="G125" s="11"/>
      <c r="H125" s="11"/>
      <c r="I125" s="11"/>
      <c r="J125" s="17"/>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row>
    <row r="126" spans="1:57" ht="15.75" customHeight="1">
      <c r="A126" s="11"/>
      <c r="B126" s="11"/>
      <c r="C126" s="11"/>
      <c r="D126" s="11"/>
      <c r="E126" s="11"/>
      <c r="F126" s="11"/>
      <c r="G126" s="11"/>
      <c r="H126" s="11"/>
      <c r="I126" s="11"/>
      <c r="J126" s="17"/>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row>
    <row r="127" spans="1:57" ht="15.75" customHeight="1">
      <c r="A127" s="11"/>
      <c r="B127" s="11"/>
      <c r="C127" s="11"/>
      <c r="D127" s="11"/>
      <c r="E127" s="11"/>
      <c r="F127" s="11"/>
      <c r="G127" s="11"/>
      <c r="H127" s="11"/>
      <c r="I127" s="11"/>
      <c r="J127" s="17"/>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row>
    <row r="128" spans="1:57" ht="15.75" customHeight="1">
      <c r="A128" s="11"/>
      <c r="B128" s="11"/>
      <c r="C128" s="11"/>
      <c r="D128" s="11"/>
      <c r="E128" s="11"/>
      <c r="F128" s="11"/>
      <c r="G128" s="11"/>
      <c r="H128" s="11"/>
      <c r="I128" s="11"/>
      <c r="J128" s="17"/>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row>
    <row r="129" spans="1:57" ht="15.75" customHeight="1">
      <c r="A129" s="11"/>
      <c r="B129" s="11"/>
      <c r="C129" s="11"/>
      <c r="D129" s="11"/>
      <c r="E129" s="11"/>
      <c r="F129" s="11"/>
      <c r="G129" s="11"/>
      <c r="H129" s="11"/>
      <c r="I129" s="11"/>
      <c r="J129" s="17"/>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row>
    <row r="130" spans="1:57" ht="15.75" customHeight="1">
      <c r="A130" s="11"/>
      <c r="B130" s="11"/>
      <c r="C130" s="11"/>
      <c r="D130" s="11"/>
      <c r="E130" s="11"/>
      <c r="F130" s="11"/>
      <c r="G130" s="11"/>
      <c r="H130" s="11"/>
      <c r="I130" s="11"/>
      <c r="J130" s="17"/>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row>
    <row r="131" spans="1:57" ht="15.75" customHeight="1">
      <c r="A131" s="11"/>
      <c r="B131" s="11"/>
      <c r="C131" s="11"/>
      <c r="D131" s="11"/>
      <c r="E131" s="11"/>
      <c r="F131" s="11"/>
      <c r="G131" s="11"/>
      <c r="H131" s="11"/>
      <c r="I131" s="11"/>
      <c r="J131" s="17"/>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row>
    <row r="132" spans="1:57" ht="15.75" customHeight="1">
      <c r="A132" s="11"/>
      <c r="B132" s="11"/>
      <c r="C132" s="11"/>
      <c r="D132" s="11"/>
      <c r="E132" s="11"/>
      <c r="F132" s="11"/>
      <c r="G132" s="11"/>
      <c r="H132" s="11"/>
      <c r="I132" s="11"/>
      <c r="J132" s="17"/>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row>
    <row r="133" spans="1:57" ht="15.75" customHeight="1">
      <c r="A133" s="11"/>
      <c r="B133" s="11"/>
      <c r="C133" s="11"/>
      <c r="D133" s="11"/>
      <c r="E133" s="11"/>
      <c r="F133" s="11"/>
      <c r="G133" s="11"/>
      <c r="H133" s="11"/>
      <c r="I133" s="11"/>
      <c r="J133" s="17"/>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row>
    <row r="134" spans="1:57" ht="15.75" customHeight="1">
      <c r="A134" s="11"/>
      <c r="B134" s="11"/>
      <c r="C134" s="11"/>
      <c r="D134" s="11"/>
      <c r="E134" s="11"/>
      <c r="F134" s="11"/>
      <c r="G134" s="11"/>
      <c r="H134" s="11"/>
      <c r="I134" s="11"/>
      <c r="J134" s="17"/>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row>
    <row r="135" spans="1:57" ht="15.75" customHeight="1">
      <c r="A135" s="11"/>
      <c r="B135" s="11"/>
      <c r="C135" s="11"/>
      <c r="D135" s="11"/>
      <c r="E135" s="11"/>
      <c r="F135" s="11"/>
      <c r="G135" s="11"/>
      <c r="H135" s="11"/>
      <c r="I135" s="11"/>
      <c r="J135" s="17"/>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row>
    <row r="136" spans="1:57" ht="15.75" customHeight="1">
      <c r="A136" s="11"/>
      <c r="B136" s="11"/>
      <c r="C136" s="11"/>
      <c r="D136" s="11"/>
      <c r="E136" s="11"/>
      <c r="F136" s="11"/>
      <c r="G136" s="11"/>
      <c r="H136" s="11"/>
      <c r="I136" s="11"/>
      <c r="J136" s="17"/>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row>
    <row r="137" spans="1:57" ht="15.75" customHeight="1">
      <c r="A137" s="11"/>
      <c r="B137" s="11"/>
      <c r="C137" s="11"/>
      <c r="D137" s="11"/>
      <c r="E137" s="11"/>
      <c r="F137" s="11"/>
      <c r="G137" s="11"/>
      <c r="H137" s="11"/>
      <c r="I137" s="11"/>
      <c r="J137" s="17"/>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row>
    <row r="138" spans="1:57" ht="15.75" customHeight="1">
      <c r="A138" s="11"/>
      <c r="B138" s="11"/>
      <c r="C138" s="11"/>
      <c r="D138" s="11"/>
      <c r="E138" s="11"/>
      <c r="F138" s="11"/>
      <c r="G138" s="11"/>
      <c r="H138" s="11"/>
      <c r="I138" s="11"/>
      <c r="J138" s="17"/>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row>
    <row r="139" spans="1:57" ht="15.75" customHeight="1">
      <c r="A139" s="11"/>
      <c r="B139" s="11"/>
      <c r="C139" s="11"/>
      <c r="D139" s="11"/>
      <c r="E139" s="11"/>
      <c r="F139" s="11"/>
      <c r="G139" s="11"/>
      <c r="H139" s="11"/>
      <c r="I139" s="11"/>
      <c r="J139" s="17"/>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row>
    <row r="140" spans="1:57" ht="15.75" customHeight="1">
      <c r="A140" s="11"/>
      <c r="B140" s="11"/>
      <c r="C140" s="11"/>
      <c r="D140" s="11"/>
      <c r="E140" s="11"/>
      <c r="F140" s="11"/>
      <c r="G140" s="11"/>
      <c r="H140" s="11"/>
      <c r="I140" s="11"/>
      <c r="J140" s="17"/>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row>
    <row r="141" spans="1:57" ht="15.75" customHeight="1">
      <c r="A141" s="11"/>
      <c r="B141" s="11"/>
      <c r="C141" s="11"/>
      <c r="D141" s="11"/>
      <c r="E141" s="11"/>
      <c r="F141" s="11"/>
      <c r="G141" s="11"/>
      <c r="H141" s="11"/>
      <c r="I141" s="11"/>
      <c r="J141" s="17"/>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row>
    <row r="142" spans="1:57" ht="15.75" customHeight="1">
      <c r="A142" s="11"/>
      <c r="B142" s="11"/>
      <c r="C142" s="11"/>
      <c r="D142" s="11"/>
      <c r="E142" s="11"/>
      <c r="F142" s="11"/>
      <c r="G142" s="11"/>
      <c r="H142" s="11"/>
      <c r="I142" s="11"/>
      <c r="J142" s="17"/>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row>
    <row r="143" spans="1:57" ht="15.75" customHeight="1">
      <c r="A143" s="11"/>
      <c r="B143" s="11"/>
      <c r="C143" s="11"/>
      <c r="D143" s="11"/>
      <c r="E143" s="11"/>
      <c r="F143" s="11"/>
      <c r="G143" s="11"/>
      <c r="H143" s="11"/>
      <c r="I143" s="11"/>
      <c r="J143" s="17"/>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row>
    <row r="144" spans="1:57" ht="15.75" customHeight="1">
      <c r="A144" s="11"/>
      <c r="B144" s="11"/>
      <c r="C144" s="11"/>
      <c r="D144" s="11"/>
      <c r="E144" s="11"/>
      <c r="F144" s="11"/>
      <c r="G144" s="11"/>
      <c r="H144" s="11"/>
      <c r="I144" s="11"/>
      <c r="J144" s="17"/>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row>
    <row r="145" spans="1:57" ht="15.75" customHeight="1">
      <c r="A145" s="11"/>
      <c r="B145" s="11"/>
      <c r="C145" s="11"/>
      <c r="D145" s="11"/>
      <c r="E145" s="11"/>
      <c r="F145" s="11"/>
      <c r="G145" s="11"/>
      <c r="H145" s="11"/>
      <c r="I145" s="11"/>
      <c r="J145" s="17"/>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row>
    <row r="146" spans="1:57" ht="15.75" customHeight="1">
      <c r="A146" s="11"/>
      <c r="B146" s="11"/>
      <c r="C146" s="11"/>
      <c r="D146" s="11"/>
      <c r="E146" s="11"/>
      <c r="F146" s="11"/>
      <c r="G146" s="11"/>
      <c r="H146" s="11"/>
      <c r="I146" s="11"/>
      <c r="J146" s="17"/>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row>
    <row r="147" spans="1:57" ht="15.75" customHeight="1">
      <c r="A147" s="11"/>
      <c r="B147" s="11"/>
      <c r="C147" s="11"/>
      <c r="D147" s="11"/>
      <c r="E147" s="11"/>
      <c r="F147" s="11"/>
      <c r="G147" s="11"/>
      <c r="H147" s="11"/>
      <c r="I147" s="11"/>
      <c r="J147" s="17"/>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row>
    <row r="148" spans="1:57" ht="15.75" customHeight="1">
      <c r="A148" s="11"/>
      <c r="B148" s="11"/>
      <c r="C148" s="11"/>
      <c r="D148" s="11"/>
      <c r="E148" s="11"/>
      <c r="F148" s="11"/>
      <c r="G148" s="11"/>
      <c r="H148" s="11"/>
      <c r="I148" s="11"/>
      <c r="J148" s="17"/>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row>
    <row r="149" spans="1:57" ht="15.75" customHeight="1">
      <c r="A149" s="11"/>
      <c r="B149" s="11"/>
      <c r="C149" s="11"/>
      <c r="D149" s="11"/>
      <c r="E149" s="11"/>
      <c r="F149" s="11"/>
      <c r="G149" s="11"/>
      <c r="H149" s="11"/>
      <c r="I149" s="11"/>
      <c r="J149" s="17"/>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row>
    <row r="150" spans="1:57" ht="15.75" customHeight="1">
      <c r="A150" s="11"/>
      <c r="B150" s="11"/>
      <c r="C150" s="11"/>
      <c r="D150" s="11"/>
      <c r="E150" s="11"/>
      <c r="F150" s="11"/>
      <c r="G150" s="11"/>
      <c r="H150" s="11"/>
      <c r="I150" s="11"/>
      <c r="J150" s="17"/>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row>
    <row r="151" spans="1:57" ht="15.75" customHeight="1">
      <c r="A151" s="11"/>
      <c r="B151" s="11"/>
      <c r="C151" s="11"/>
      <c r="D151" s="11"/>
      <c r="E151" s="11"/>
      <c r="F151" s="11"/>
      <c r="G151" s="11"/>
      <c r="H151" s="11"/>
      <c r="I151" s="11"/>
      <c r="J151" s="17"/>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row>
    <row r="152" spans="1:57" ht="15.75" customHeight="1">
      <c r="A152" s="11"/>
      <c r="B152" s="11"/>
      <c r="C152" s="11"/>
      <c r="D152" s="11"/>
      <c r="E152" s="11"/>
      <c r="F152" s="11"/>
      <c r="G152" s="11"/>
      <c r="H152" s="11"/>
      <c r="I152" s="11"/>
      <c r="J152" s="17"/>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row>
    <row r="153" spans="1:57" ht="15.75" customHeight="1">
      <c r="A153" s="11"/>
      <c r="B153" s="11"/>
      <c r="C153" s="11"/>
      <c r="D153" s="11"/>
      <c r="E153" s="11"/>
      <c r="F153" s="11"/>
      <c r="G153" s="11"/>
      <c r="H153" s="11"/>
      <c r="I153" s="11"/>
      <c r="J153" s="17"/>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row>
    <row r="154" spans="1:57" ht="15.75" customHeight="1">
      <c r="A154" s="11"/>
      <c r="B154" s="11"/>
      <c r="C154" s="11"/>
      <c r="D154" s="11"/>
      <c r="E154" s="11"/>
      <c r="F154" s="11"/>
      <c r="G154" s="11"/>
      <c r="H154" s="11"/>
      <c r="I154" s="11"/>
      <c r="J154" s="17"/>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row>
    <row r="155" spans="1:57" ht="15.75" customHeight="1">
      <c r="A155" s="11"/>
      <c r="B155" s="11"/>
      <c r="C155" s="11"/>
      <c r="D155" s="11"/>
      <c r="E155" s="11"/>
      <c r="F155" s="11"/>
      <c r="G155" s="11"/>
      <c r="H155" s="11"/>
      <c r="I155" s="11"/>
      <c r="J155" s="17"/>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row>
    <row r="156" spans="1:57" ht="15.75" customHeight="1">
      <c r="A156" s="11"/>
      <c r="B156" s="11"/>
      <c r="C156" s="11"/>
      <c r="D156" s="11"/>
      <c r="E156" s="11"/>
      <c r="F156" s="11"/>
      <c r="G156" s="11"/>
      <c r="H156" s="11"/>
      <c r="I156" s="11"/>
      <c r="J156" s="17"/>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row>
    <row r="157" spans="1:57" ht="15.75" customHeight="1">
      <c r="A157" s="11"/>
      <c r="B157" s="11"/>
      <c r="C157" s="11"/>
      <c r="D157" s="11"/>
      <c r="E157" s="11"/>
      <c r="F157" s="11"/>
      <c r="G157" s="11"/>
      <c r="H157" s="11"/>
      <c r="I157" s="11"/>
      <c r="J157" s="17"/>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row>
    <row r="158" spans="1:57" ht="15.75" customHeight="1">
      <c r="A158" s="11"/>
      <c r="B158" s="11"/>
      <c r="C158" s="11"/>
      <c r="D158" s="11"/>
      <c r="E158" s="11"/>
      <c r="F158" s="11"/>
      <c r="G158" s="11"/>
      <c r="H158" s="11"/>
      <c r="I158" s="11"/>
      <c r="J158" s="17"/>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row>
    <row r="159" spans="1:57" ht="15.75" customHeight="1">
      <c r="A159" s="11"/>
      <c r="B159" s="11"/>
      <c r="C159" s="11"/>
      <c r="D159" s="11"/>
      <c r="E159" s="11"/>
      <c r="F159" s="11"/>
      <c r="G159" s="11"/>
      <c r="H159" s="11"/>
      <c r="I159" s="11"/>
      <c r="J159" s="17"/>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row>
    <row r="160" spans="1:57" ht="15.75" customHeight="1">
      <c r="A160" s="11"/>
      <c r="B160" s="11"/>
      <c r="C160" s="11"/>
      <c r="D160" s="11"/>
      <c r="E160" s="11"/>
      <c r="F160" s="11"/>
      <c r="G160" s="11"/>
      <c r="H160" s="11"/>
      <c r="I160" s="11"/>
      <c r="J160" s="17"/>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row>
    <row r="161" spans="1:57" ht="15.75" customHeight="1">
      <c r="A161" s="11"/>
      <c r="B161" s="11"/>
      <c r="C161" s="11"/>
      <c r="D161" s="11"/>
      <c r="E161" s="11"/>
      <c r="F161" s="11"/>
      <c r="G161" s="11"/>
      <c r="H161" s="11"/>
      <c r="I161" s="11"/>
      <c r="J161" s="17"/>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row>
    <row r="162" spans="1:57" ht="15.75" customHeight="1">
      <c r="A162" s="11"/>
      <c r="B162" s="11"/>
      <c r="C162" s="11"/>
      <c r="D162" s="11"/>
      <c r="E162" s="11"/>
      <c r="F162" s="11"/>
      <c r="G162" s="11"/>
      <c r="H162" s="11"/>
      <c r="I162" s="11"/>
      <c r="J162" s="17"/>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row>
    <row r="163" spans="1:57" ht="15.75" customHeight="1">
      <c r="A163" s="11"/>
      <c r="B163" s="11"/>
      <c r="C163" s="11"/>
      <c r="D163" s="11"/>
      <c r="E163" s="11"/>
      <c r="F163" s="11"/>
      <c r="G163" s="11"/>
      <c r="H163" s="11"/>
      <c r="I163" s="11"/>
      <c r="J163" s="17"/>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row>
    <row r="164" spans="1:57" ht="15.75" customHeight="1">
      <c r="A164" s="11"/>
      <c r="B164" s="11"/>
      <c r="C164" s="11"/>
      <c r="D164" s="11"/>
      <c r="E164" s="11"/>
      <c r="F164" s="11"/>
      <c r="G164" s="11"/>
      <c r="H164" s="11"/>
      <c r="I164" s="11"/>
      <c r="J164" s="17"/>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row>
    <row r="165" spans="1:57" ht="15.75" customHeight="1">
      <c r="A165" s="11"/>
      <c r="B165" s="11"/>
      <c r="C165" s="11"/>
      <c r="D165" s="11"/>
      <c r="E165" s="11"/>
      <c r="F165" s="11"/>
      <c r="G165" s="11"/>
      <c r="H165" s="11"/>
      <c r="I165" s="11"/>
      <c r="J165" s="17"/>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row>
    <row r="166" spans="1:57" ht="15.75" customHeight="1">
      <c r="A166" s="11"/>
      <c r="B166" s="11"/>
      <c r="C166" s="11"/>
      <c r="D166" s="11"/>
      <c r="E166" s="11"/>
      <c r="F166" s="11"/>
      <c r="G166" s="11"/>
      <c r="H166" s="11"/>
      <c r="I166" s="11"/>
      <c r="J166" s="17"/>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row>
    <row r="167" spans="1:57" ht="15.75" customHeight="1">
      <c r="A167" s="11"/>
      <c r="B167" s="11"/>
      <c r="C167" s="11"/>
      <c r="D167" s="11"/>
      <c r="E167" s="11"/>
      <c r="F167" s="11"/>
      <c r="G167" s="11"/>
      <c r="H167" s="11"/>
      <c r="I167" s="11"/>
      <c r="J167" s="17"/>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row>
    <row r="168" spans="1:57" ht="15.75" customHeight="1">
      <c r="A168" s="11"/>
      <c r="B168" s="11"/>
      <c r="C168" s="11"/>
      <c r="D168" s="11"/>
      <c r="E168" s="11"/>
      <c r="F168" s="11"/>
      <c r="G168" s="11"/>
      <c r="H168" s="11"/>
      <c r="I168" s="11"/>
      <c r="J168" s="17"/>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row>
    <row r="169" spans="1:57" ht="15.75" customHeight="1">
      <c r="A169" s="11"/>
      <c r="B169" s="11"/>
      <c r="C169" s="11"/>
      <c r="D169" s="11"/>
      <c r="E169" s="11"/>
      <c r="F169" s="11"/>
      <c r="G169" s="11"/>
      <c r="H169" s="11"/>
      <c r="I169" s="11"/>
      <c r="J169" s="17"/>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row>
    <row r="170" spans="1:57" ht="15.75" customHeight="1">
      <c r="A170" s="11"/>
      <c r="B170" s="11"/>
      <c r="C170" s="11"/>
      <c r="D170" s="11"/>
      <c r="E170" s="11"/>
      <c r="F170" s="11"/>
      <c r="G170" s="11"/>
      <c r="H170" s="11"/>
      <c r="I170" s="11"/>
      <c r="J170" s="17"/>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row>
    <row r="171" spans="1:57" ht="15.75" customHeight="1">
      <c r="A171" s="11"/>
      <c r="B171" s="11"/>
      <c r="C171" s="11"/>
      <c r="D171" s="11"/>
      <c r="E171" s="11"/>
      <c r="F171" s="11"/>
      <c r="G171" s="11"/>
      <c r="H171" s="11"/>
      <c r="I171" s="11"/>
      <c r="J171" s="17"/>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row>
    <row r="172" spans="1:57" ht="15.75" customHeight="1">
      <c r="A172" s="11"/>
      <c r="B172" s="11"/>
      <c r="C172" s="11"/>
      <c r="D172" s="11"/>
      <c r="E172" s="11"/>
      <c r="F172" s="11"/>
      <c r="G172" s="11"/>
      <c r="H172" s="11"/>
      <c r="I172" s="11"/>
      <c r="J172" s="17"/>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row>
    <row r="173" spans="1:57" ht="15.75" customHeight="1">
      <c r="A173" s="11"/>
      <c r="B173" s="11"/>
      <c r="C173" s="11"/>
      <c r="D173" s="11"/>
      <c r="E173" s="11"/>
      <c r="F173" s="11"/>
      <c r="G173" s="11"/>
      <c r="H173" s="11"/>
      <c r="I173" s="11"/>
      <c r="J173" s="17"/>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row>
    <row r="174" spans="1:57" ht="15.75" customHeight="1">
      <c r="A174" s="11"/>
      <c r="B174" s="11"/>
      <c r="C174" s="11"/>
      <c r="D174" s="11"/>
      <c r="E174" s="11"/>
      <c r="F174" s="11"/>
      <c r="G174" s="11"/>
      <c r="H174" s="11"/>
      <c r="I174" s="11"/>
      <c r="J174" s="17"/>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row>
    <row r="175" spans="1:57" ht="15.75" customHeight="1">
      <c r="A175" s="11"/>
      <c r="B175" s="11"/>
      <c r="C175" s="11"/>
      <c r="D175" s="11"/>
      <c r="E175" s="11"/>
      <c r="F175" s="11"/>
      <c r="G175" s="11"/>
      <c r="H175" s="11"/>
      <c r="I175" s="11"/>
      <c r="J175" s="17"/>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row>
    <row r="176" spans="1:57" ht="15.75" customHeight="1">
      <c r="A176" s="11"/>
      <c r="B176" s="11"/>
      <c r="C176" s="11"/>
      <c r="D176" s="11"/>
      <c r="E176" s="11"/>
      <c r="F176" s="11"/>
      <c r="G176" s="11"/>
      <c r="H176" s="11"/>
      <c r="I176" s="11"/>
      <c r="J176" s="17"/>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row>
    <row r="177" spans="1:57" ht="15.75" customHeight="1">
      <c r="A177" s="11"/>
      <c r="B177" s="11"/>
      <c r="C177" s="11"/>
      <c r="D177" s="11"/>
      <c r="E177" s="11"/>
      <c r="F177" s="11"/>
      <c r="G177" s="11"/>
      <c r="H177" s="11"/>
      <c r="I177" s="11"/>
      <c r="J177" s="17"/>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row>
    <row r="178" spans="1:57" ht="15.75" customHeight="1">
      <c r="A178" s="11"/>
      <c r="B178" s="11"/>
      <c r="C178" s="11"/>
      <c r="D178" s="11"/>
      <c r="E178" s="11"/>
      <c r="F178" s="11"/>
      <c r="G178" s="11"/>
      <c r="H178" s="11"/>
      <c r="I178" s="11"/>
      <c r="J178" s="17"/>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row>
    <row r="179" spans="1:57" ht="15.75" customHeight="1">
      <c r="A179" s="11"/>
      <c r="B179" s="11"/>
      <c r="C179" s="11"/>
      <c r="D179" s="11"/>
      <c r="E179" s="11"/>
      <c r="F179" s="11"/>
      <c r="G179" s="11"/>
      <c r="H179" s="11"/>
      <c r="I179" s="11"/>
      <c r="J179" s="17"/>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row>
    <row r="180" spans="1:57" ht="15.75" customHeight="1">
      <c r="A180" s="11"/>
      <c r="B180" s="11"/>
      <c r="C180" s="11"/>
      <c r="D180" s="11"/>
      <c r="E180" s="11"/>
      <c r="F180" s="11"/>
      <c r="G180" s="11"/>
      <c r="H180" s="11"/>
      <c r="I180" s="11"/>
      <c r="J180" s="17"/>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row>
    <row r="181" spans="1:57" ht="15.75" customHeight="1">
      <c r="A181" s="11"/>
      <c r="B181" s="11"/>
      <c r="C181" s="11"/>
      <c r="D181" s="11"/>
      <c r="E181" s="11"/>
      <c r="F181" s="11"/>
      <c r="G181" s="11"/>
      <c r="H181" s="11"/>
      <c r="I181" s="11"/>
      <c r="J181" s="17"/>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row>
    <row r="182" spans="1:57" ht="15.75" customHeight="1">
      <c r="A182" s="11"/>
      <c r="B182" s="11"/>
      <c r="C182" s="11"/>
      <c r="D182" s="11"/>
      <c r="E182" s="11"/>
      <c r="F182" s="11"/>
      <c r="G182" s="11"/>
      <c r="H182" s="11"/>
      <c r="I182" s="11"/>
      <c r="J182" s="17"/>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row>
    <row r="183" spans="1:57" ht="15.75" customHeight="1">
      <c r="A183" s="11"/>
      <c r="B183" s="11"/>
      <c r="C183" s="11"/>
      <c r="D183" s="11"/>
      <c r="E183" s="11"/>
      <c r="F183" s="11"/>
      <c r="G183" s="11"/>
      <c r="H183" s="11"/>
      <c r="I183" s="11"/>
      <c r="J183" s="17"/>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row>
    <row r="184" spans="1:57" ht="15.75" customHeight="1">
      <c r="A184" s="11"/>
      <c r="B184" s="11"/>
      <c r="C184" s="11"/>
      <c r="D184" s="11"/>
      <c r="E184" s="11"/>
      <c r="F184" s="11"/>
      <c r="G184" s="11"/>
      <c r="H184" s="11"/>
      <c r="I184" s="11"/>
      <c r="J184" s="17"/>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row>
    <row r="185" spans="1:57" ht="15.75" customHeight="1">
      <c r="A185" s="11"/>
      <c r="B185" s="11"/>
      <c r="C185" s="11"/>
      <c r="D185" s="11"/>
      <c r="E185" s="11"/>
      <c r="F185" s="11"/>
      <c r="G185" s="11"/>
      <c r="H185" s="11"/>
      <c r="I185" s="11"/>
      <c r="J185" s="17"/>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row>
    <row r="186" spans="1:57" ht="15.75" customHeight="1">
      <c r="A186" s="11"/>
      <c r="B186" s="11"/>
      <c r="C186" s="11"/>
      <c r="D186" s="11"/>
      <c r="E186" s="11"/>
      <c r="F186" s="11"/>
      <c r="G186" s="11"/>
      <c r="H186" s="11"/>
      <c r="I186" s="11"/>
      <c r="J186" s="17"/>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row>
    <row r="187" spans="1:57" ht="15.75" customHeight="1">
      <c r="A187" s="11"/>
      <c r="B187" s="11"/>
      <c r="C187" s="11"/>
      <c r="D187" s="11"/>
      <c r="E187" s="11"/>
      <c r="F187" s="11"/>
      <c r="G187" s="11"/>
      <c r="H187" s="11"/>
      <c r="I187" s="11"/>
      <c r="J187" s="17"/>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row>
    <row r="188" spans="1:57" ht="15.75" customHeight="1">
      <c r="A188" s="11"/>
      <c r="B188" s="11"/>
      <c r="C188" s="11"/>
      <c r="D188" s="11"/>
      <c r="E188" s="11"/>
      <c r="F188" s="11"/>
      <c r="G188" s="11"/>
      <c r="H188" s="11"/>
      <c r="I188" s="11"/>
      <c r="J188" s="17"/>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row>
    <row r="189" spans="1:57" ht="15.75" customHeight="1">
      <c r="A189" s="11"/>
      <c r="B189" s="11"/>
      <c r="C189" s="11"/>
      <c r="D189" s="11"/>
      <c r="E189" s="11"/>
      <c r="F189" s="11"/>
      <c r="G189" s="11"/>
      <c r="H189" s="11"/>
      <c r="I189" s="11"/>
      <c r="J189" s="17"/>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row>
    <row r="190" spans="1:57" ht="15.75" customHeight="1">
      <c r="A190" s="11"/>
      <c r="B190" s="11"/>
      <c r="C190" s="11"/>
      <c r="D190" s="11"/>
      <c r="E190" s="11"/>
      <c r="F190" s="11"/>
      <c r="G190" s="11"/>
      <c r="H190" s="11"/>
      <c r="I190" s="11"/>
      <c r="J190" s="17"/>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row>
    <row r="191" spans="1:57" ht="15.75" customHeight="1">
      <c r="A191" s="11"/>
      <c r="B191" s="11"/>
      <c r="C191" s="11"/>
      <c r="D191" s="11"/>
      <c r="E191" s="11"/>
      <c r="F191" s="11"/>
      <c r="G191" s="11"/>
      <c r="H191" s="11"/>
      <c r="I191" s="11"/>
      <c r="J191" s="17"/>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row>
    <row r="192" spans="1:57" ht="15.75" customHeight="1">
      <c r="A192" s="11"/>
      <c r="B192" s="11"/>
      <c r="C192" s="11"/>
      <c r="D192" s="11"/>
      <c r="E192" s="11"/>
      <c r="F192" s="11"/>
      <c r="G192" s="11"/>
      <c r="H192" s="11"/>
      <c r="I192" s="11"/>
      <c r="J192" s="17"/>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row>
    <row r="193" spans="1:57" ht="15.75" customHeight="1">
      <c r="A193" s="11"/>
      <c r="B193" s="11"/>
      <c r="C193" s="11"/>
      <c r="D193" s="11"/>
      <c r="E193" s="11"/>
      <c r="F193" s="11"/>
      <c r="G193" s="11"/>
      <c r="H193" s="11"/>
      <c r="I193" s="11"/>
      <c r="J193" s="17"/>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row>
    <row r="194" spans="1:57" ht="15.75" customHeight="1">
      <c r="A194" s="11"/>
      <c r="B194" s="11"/>
      <c r="C194" s="11"/>
      <c r="D194" s="11"/>
      <c r="E194" s="11"/>
      <c r="F194" s="11"/>
      <c r="G194" s="11"/>
      <c r="H194" s="11"/>
      <c r="I194" s="11"/>
      <c r="J194" s="17"/>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row>
    <row r="195" spans="1:57" ht="15.75" customHeight="1">
      <c r="A195" s="11"/>
      <c r="B195" s="11"/>
      <c r="C195" s="11"/>
      <c r="D195" s="11"/>
      <c r="E195" s="11"/>
      <c r="F195" s="11"/>
      <c r="G195" s="11"/>
      <c r="H195" s="11"/>
      <c r="I195" s="11"/>
      <c r="J195" s="17"/>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row>
    <row r="196" spans="1:57" ht="15.75" customHeight="1">
      <c r="A196" s="11"/>
      <c r="B196" s="11"/>
      <c r="C196" s="11"/>
      <c r="D196" s="11"/>
      <c r="E196" s="11"/>
      <c r="F196" s="11"/>
      <c r="G196" s="11"/>
      <c r="H196" s="11"/>
      <c r="I196" s="11"/>
      <c r="J196" s="17"/>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row>
    <row r="197" spans="1:57" ht="15.75" customHeight="1">
      <c r="A197" s="11"/>
      <c r="B197" s="11"/>
      <c r="C197" s="11"/>
      <c r="D197" s="11"/>
      <c r="E197" s="11"/>
      <c r="F197" s="11"/>
      <c r="G197" s="11"/>
      <c r="H197" s="11"/>
      <c r="I197" s="11"/>
      <c r="J197" s="17"/>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row>
    <row r="198" spans="1:57" ht="15.75" customHeight="1">
      <c r="A198" s="11"/>
      <c r="B198" s="11"/>
      <c r="C198" s="11"/>
      <c r="D198" s="11"/>
      <c r="E198" s="11"/>
      <c r="F198" s="11"/>
      <c r="G198" s="11"/>
      <c r="H198" s="11"/>
      <c r="I198" s="11"/>
      <c r="J198" s="17"/>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row>
    <row r="199" spans="1:57" ht="15.75" customHeight="1">
      <c r="A199" s="11"/>
      <c r="B199" s="11"/>
      <c r="C199" s="11"/>
      <c r="D199" s="11"/>
      <c r="E199" s="11"/>
      <c r="F199" s="11"/>
      <c r="G199" s="11"/>
      <c r="H199" s="11"/>
      <c r="I199" s="11"/>
      <c r="J199" s="17"/>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row>
    <row r="200" spans="1:57" ht="15.75" customHeight="1">
      <c r="A200" s="11"/>
      <c r="B200" s="11"/>
      <c r="C200" s="11"/>
      <c r="D200" s="11"/>
      <c r="E200" s="11"/>
      <c r="F200" s="11"/>
      <c r="G200" s="11"/>
      <c r="H200" s="11"/>
      <c r="I200" s="11"/>
      <c r="J200" s="17"/>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row>
    <row r="201" spans="1:57" ht="15.75" customHeight="1">
      <c r="A201" s="11"/>
      <c r="B201" s="11"/>
      <c r="C201" s="11"/>
      <c r="D201" s="11"/>
      <c r="E201" s="11"/>
      <c r="F201" s="11"/>
      <c r="G201" s="11"/>
      <c r="H201" s="11"/>
      <c r="I201" s="11"/>
      <c r="J201" s="17"/>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row>
    <row r="202" spans="1:57" ht="15.75" customHeight="1">
      <c r="A202" s="11"/>
      <c r="B202" s="11"/>
      <c r="C202" s="11"/>
      <c r="D202" s="11"/>
      <c r="E202" s="11"/>
      <c r="F202" s="11"/>
      <c r="G202" s="11"/>
      <c r="H202" s="11"/>
      <c r="I202" s="11"/>
      <c r="J202" s="17"/>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row>
    <row r="203" spans="1:57" ht="15.75" customHeight="1">
      <c r="A203" s="11"/>
      <c r="B203" s="11"/>
      <c r="C203" s="11"/>
      <c r="D203" s="11"/>
      <c r="E203" s="11"/>
      <c r="F203" s="11"/>
      <c r="G203" s="11"/>
      <c r="H203" s="11"/>
      <c r="I203" s="11"/>
      <c r="J203" s="17"/>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row>
    <row r="204" spans="1:57" ht="15.75" customHeight="1">
      <c r="A204" s="11"/>
      <c r="B204" s="11"/>
      <c r="C204" s="11"/>
      <c r="D204" s="11"/>
      <c r="E204" s="11"/>
      <c r="F204" s="11"/>
      <c r="G204" s="11"/>
      <c r="H204" s="11"/>
      <c r="I204" s="11"/>
      <c r="J204" s="17"/>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row>
    <row r="205" spans="1:57" ht="15.75" customHeight="1">
      <c r="A205" s="11"/>
      <c r="B205" s="11"/>
      <c r="C205" s="11"/>
      <c r="D205" s="11"/>
      <c r="E205" s="11"/>
      <c r="F205" s="11"/>
      <c r="G205" s="11"/>
      <c r="H205" s="11"/>
      <c r="I205" s="11"/>
      <c r="J205" s="17"/>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row>
    <row r="206" spans="1:57" ht="15.75" customHeight="1">
      <c r="A206" s="11"/>
      <c r="B206" s="11"/>
      <c r="C206" s="11"/>
      <c r="D206" s="11"/>
      <c r="E206" s="11"/>
      <c r="F206" s="11"/>
      <c r="G206" s="11"/>
      <c r="H206" s="11"/>
      <c r="I206" s="11"/>
      <c r="J206" s="17"/>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row>
    <row r="207" spans="1:57" ht="15.75" customHeight="1">
      <c r="A207" s="11"/>
      <c r="B207" s="11"/>
      <c r="C207" s="11"/>
      <c r="D207" s="11"/>
      <c r="E207" s="11"/>
      <c r="F207" s="11"/>
      <c r="G207" s="11"/>
      <c r="H207" s="11"/>
      <c r="I207" s="11"/>
      <c r="J207" s="17"/>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row>
    <row r="208" spans="1:57" ht="15.75" customHeight="1">
      <c r="A208" s="11"/>
      <c r="B208" s="11"/>
      <c r="C208" s="11"/>
      <c r="D208" s="11"/>
      <c r="E208" s="11"/>
      <c r="F208" s="11"/>
      <c r="G208" s="11"/>
      <c r="H208" s="11"/>
      <c r="I208" s="11"/>
      <c r="J208" s="17"/>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row>
    <row r="209" spans="1:57" ht="15.75" customHeight="1">
      <c r="A209" s="11"/>
      <c r="B209" s="11"/>
      <c r="C209" s="11"/>
      <c r="D209" s="11"/>
      <c r="E209" s="11"/>
      <c r="F209" s="11"/>
      <c r="G209" s="11"/>
      <c r="H209" s="11"/>
      <c r="I209" s="11"/>
      <c r="J209" s="17"/>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row>
    <row r="210" spans="1:57" ht="15.75" customHeight="1">
      <c r="A210" s="11"/>
      <c r="B210" s="11"/>
      <c r="C210" s="11"/>
      <c r="D210" s="11"/>
      <c r="E210" s="11"/>
      <c r="F210" s="11"/>
      <c r="G210" s="11"/>
      <c r="H210" s="11"/>
      <c r="I210" s="11"/>
      <c r="J210" s="17"/>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row>
    <row r="211" spans="1:57" ht="15.75" customHeight="1">
      <c r="A211" s="11"/>
      <c r="B211" s="11"/>
      <c r="C211" s="11"/>
      <c r="D211" s="11"/>
      <c r="E211" s="11"/>
      <c r="F211" s="11"/>
      <c r="G211" s="11"/>
      <c r="H211" s="11"/>
      <c r="I211" s="11"/>
      <c r="J211" s="17"/>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row>
    <row r="212" spans="1:57" ht="15.75" customHeight="1">
      <c r="A212" s="11"/>
      <c r="B212" s="11"/>
      <c r="C212" s="11"/>
      <c r="D212" s="11"/>
      <c r="E212" s="11"/>
      <c r="F212" s="11"/>
      <c r="G212" s="11"/>
      <c r="H212" s="11"/>
      <c r="I212" s="11"/>
      <c r="J212" s="17"/>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row>
    <row r="213" spans="1:57" ht="15.75" customHeight="1">
      <c r="A213" s="11"/>
      <c r="B213" s="11"/>
      <c r="C213" s="11"/>
      <c r="D213" s="11"/>
      <c r="E213" s="11"/>
      <c r="F213" s="11"/>
      <c r="G213" s="11"/>
      <c r="H213" s="11"/>
      <c r="I213" s="11"/>
      <c r="J213" s="17"/>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row>
    <row r="214" spans="1:57" ht="15.75" customHeight="1">
      <c r="A214" s="11"/>
      <c r="B214" s="11"/>
      <c r="C214" s="11"/>
      <c r="D214" s="11"/>
      <c r="E214" s="11"/>
      <c r="F214" s="11"/>
      <c r="G214" s="11"/>
      <c r="H214" s="11"/>
      <c r="I214" s="11"/>
      <c r="J214" s="17"/>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row>
    <row r="215" spans="1:57" ht="15.75" customHeight="1">
      <c r="A215" s="11"/>
      <c r="B215" s="11"/>
      <c r="C215" s="11"/>
      <c r="D215" s="11"/>
      <c r="E215" s="11"/>
      <c r="F215" s="11"/>
      <c r="G215" s="11"/>
      <c r="H215" s="11"/>
      <c r="I215" s="11"/>
      <c r="J215" s="17"/>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row>
    <row r="216" spans="1:57" ht="15.75" customHeight="1">
      <c r="A216" s="11"/>
      <c r="B216" s="11"/>
      <c r="C216" s="11"/>
      <c r="D216" s="11"/>
      <c r="E216" s="11"/>
      <c r="F216" s="11"/>
      <c r="G216" s="11"/>
      <c r="H216" s="11"/>
      <c r="I216" s="11"/>
      <c r="J216" s="17"/>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row>
    <row r="217" spans="1:57" ht="15.75" customHeight="1">
      <c r="A217" s="11"/>
      <c r="B217" s="11"/>
      <c r="C217" s="11"/>
      <c r="D217" s="11"/>
      <c r="E217" s="11"/>
      <c r="F217" s="11"/>
      <c r="G217" s="11"/>
      <c r="H217" s="11"/>
      <c r="I217" s="11"/>
      <c r="J217" s="17"/>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row>
    <row r="218" spans="1:57" ht="15.75" customHeight="1">
      <c r="A218" s="11"/>
      <c r="B218" s="11"/>
      <c r="C218" s="11"/>
      <c r="D218" s="11"/>
      <c r="E218" s="11"/>
      <c r="F218" s="11"/>
      <c r="G218" s="11"/>
      <c r="H218" s="11"/>
      <c r="I218" s="11"/>
      <c r="J218" s="17"/>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row>
    <row r="219" spans="1:57" ht="15.75" customHeight="1">
      <c r="A219" s="11"/>
      <c r="B219" s="11"/>
      <c r="C219" s="11"/>
      <c r="D219" s="11"/>
      <c r="E219" s="11"/>
      <c r="F219" s="11"/>
      <c r="G219" s="11"/>
      <c r="H219" s="11"/>
      <c r="I219" s="11"/>
      <c r="J219" s="17"/>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row>
    <row r="220" spans="1:57" ht="15.75" customHeight="1">
      <c r="A220" s="11"/>
      <c r="B220" s="11"/>
      <c r="C220" s="11"/>
      <c r="D220" s="11"/>
      <c r="E220" s="11"/>
      <c r="F220" s="11"/>
      <c r="G220" s="11"/>
      <c r="H220" s="11"/>
      <c r="I220" s="11"/>
      <c r="J220" s="17"/>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row>
    <row r="221" spans="1:57" ht="15.75" customHeight="1">
      <c r="A221" s="11"/>
      <c r="B221" s="11"/>
      <c r="C221" s="11"/>
      <c r="D221" s="11"/>
      <c r="E221" s="11"/>
      <c r="F221" s="11"/>
      <c r="G221" s="11"/>
      <c r="H221" s="11"/>
      <c r="I221" s="11"/>
      <c r="J221" s="17"/>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row>
    <row r="222" spans="1:57" ht="15.75" customHeight="1">
      <c r="A222" s="11"/>
      <c r="B222" s="11"/>
      <c r="C222" s="11"/>
      <c r="D222" s="11"/>
      <c r="E222" s="11"/>
      <c r="F222" s="11"/>
      <c r="G222" s="11"/>
      <c r="H222" s="11"/>
      <c r="I222" s="11"/>
      <c r="J222" s="17"/>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row>
    <row r="223" spans="1:57" ht="15.75" customHeight="1">
      <c r="A223" s="11"/>
      <c r="B223" s="11"/>
      <c r="C223" s="11"/>
      <c r="D223" s="11"/>
      <c r="E223" s="11"/>
      <c r="F223" s="11"/>
      <c r="G223" s="11"/>
      <c r="H223" s="11"/>
      <c r="I223" s="11"/>
      <c r="J223" s="17"/>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row>
    <row r="224" spans="1:57" ht="15.75" customHeight="1">
      <c r="A224" s="11"/>
      <c r="B224" s="11"/>
      <c r="C224" s="11"/>
      <c r="D224" s="11"/>
      <c r="E224" s="11"/>
      <c r="F224" s="11"/>
      <c r="G224" s="11"/>
      <c r="H224" s="11"/>
      <c r="I224" s="11"/>
      <c r="J224" s="17"/>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row>
    <row r="225" spans="1:57" ht="15.75" customHeight="1">
      <c r="A225" s="11"/>
      <c r="B225" s="11"/>
      <c r="C225" s="11"/>
      <c r="D225" s="11"/>
      <c r="E225" s="11"/>
      <c r="F225" s="11"/>
      <c r="G225" s="11"/>
      <c r="H225" s="11"/>
      <c r="I225" s="11"/>
      <c r="J225" s="17"/>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row>
    <row r="226" spans="1:57" ht="15.75" customHeight="1">
      <c r="A226" s="11"/>
      <c r="B226" s="11"/>
      <c r="C226" s="11"/>
      <c r="D226" s="11"/>
      <c r="E226" s="11"/>
      <c r="F226" s="11"/>
      <c r="G226" s="11"/>
      <c r="H226" s="11"/>
      <c r="I226" s="11"/>
      <c r="J226" s="17"/>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row>
    <row r="227" spans="1:57" ht="15.75" customHeight="1">
      <c r="A227" s="11"/>
      <c r="B227" s="11"/>
      <c r="C227" s="11"/>
      <c r="D227" s="11"/>
      <c r="E227" s="11"/>
      <c r="F227" s="11"/>
      <c r="G227" s="11"/>
      <c r="H227" s="11"/>
      <c r="I227" s="11"/>
      <c r="J227" s="17"/>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row>
    <row r="228" spans="1:57" ht="15.75" customHeight="1">
      <c r="A228" s="11"/>
      <c r="B228" s="11"/>
      <c r="C228" s="11"/>
      <c r="D228" s="11"/>
      <c r="E228" s="11"/>
      <c r="F228" s="11"/>
      <c r="G228" s="11"/>
      <c r="H228" s="11"/>
      <c r="I228" s="11"/>
      <c r="J228" s="17"/>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row>
    <row r="229" spans="1:57" ht="15.75" customHeight="1">
      <c r="A229" s="11"/>
      <c r="B229" s="11"/>
      <c r="C229" s="11"/>
      <c r="D229" s="11"/>
      <c r="E229" s="11"/>
      <c r="F229" s="11"/>
      <c r="G229" s="11"/>
      <c r="H229" s="11"/>
      <c r="I229" s="11"/>
      <c r="J229" s="17"/>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row>
    <row r="230" spans="1:57" ht="15.75" customHeight="1">
      <c r="A230" s="11"/>
      <c r="B230" s="11"/>
      <c r="C230" s="11"/>
      <c r="D230" s="11"/>
      <c r="E230" s="11"/>
      <c r="F230" s="11"/>
      <c r="G230" s="11"/>
      <c r="H230" s="11"/>
      <c r="I230" s="11"/>
      <c r="J230" s="17"/>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row>
    <row r="231" spans="1:57" ht="15.75" customHeight="1">
      <c r="A231" s="11"/>
      <c r="B231" s="11"/>
      <c r="C231" s="11"/>
      <c r="D231" s="11"/>
      <c r="E231" s="11"/>
      <c r="F231" s="11"/>
      <c r="G231" s="11"/>
      <c r="H231" s="11"/>
      <c r="I231" s="11"/>
      <c r="J231" s="17"/>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row>
    <row r="232" spans="1:57" ht="15.75" customHeight="1">
      <c r="A232" s="11"/>
      <c r="B232" s="11"/>
      <c r="C232" s="11"/>
      <c r="D232" s="11"/>
      <c r="E232" s="11"/>
      <c r="F232" s="11"/>
      <c r="G232" s="11"/>
      <c r="H232" s="11"/>
      <c r="I232" s="11"/>
      <c r="J232" s="17"/>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row>
    <row r="233" spans="1:57" ht="15.75" customHeight="1">
      <c r="A233" s="11"/>
      <c r="B233" s="11"/>
      <c r="C233" s="11"/>
      <c r="D233" s="11"/>
      <c r="E233" s="11"/>
      <c r="F233" s="11"/>
      <c r="G233" s="11"/>
      <c r="H233" s="11"/>
      <c r="I233" s="11"/>
      <c r="J233" s="17"/>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row>
    <row r="234" spans="1:57" ht="15.75" customHeight="1">
      <c r="A234" s="11"/>
      <c r="B234" s="11"/>
      <c r="C234" s="11"/>
      <c r="D234" s="11"/>
      <c r="E234" s="11"/>
      <c r="F234" s="11"/>
      <c r="G234" s="11"/>
      <c r="H234" s="11"/>
      <c r="I234" s="11"/>
      <c r="J234" s="17"/>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row>
    <row r="235" spans="1:57" ht="15.75" customHeight="1">
      <c r="A235" s="11"/>
      <c r="B235" s="11"/>
      <c r="C235" s="11"/>
      <c r="D235" s="11"/>
      <c r="E235" s="11"/>
      <c r="F235" s="11"/>
      <c r="G235" s="11"/>
      <c r="H235" s="11"/>
      <c r="I235" s="11"/>
      <c r="J235" s="17"/>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row>
    <row r="236" spans="1:57" ht="15.75" customHeight="1">
      <c r="A236" s="11"/>
      <c r="B236" s="11"/>
      <c r="C236" s="11"/>
      <c r="D236" s="11"/>
      <c r="E236" s="11"/>
      <c r="F236" s="11"/>
      <c r="G236" s="11"/>
      <c r="H236" s="11"/>
      <c r="I236" s="11"/>
      <c r="J236" s="17"/>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row>
    <row r="237" spans="1:57" ht="15.75" customHeight="1">
      <c r="A237" s="11"/>
      <c r="B237" s="11"/>
      <c r="C237" s="11"/>
      <c r="D237" s="11"/>
      <c r="E237" s="11"/>
      <c r="F237" s="11"/>
      <c r="G237" s="11"/>
      <c r="H237" s="11"/>
      <c r="I237" s="11"/>
      <c r="J237" s="17"/>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row>
    <row r="238" spans="1:57" ht="15.75" customHeight="1">
      <c r="A238" s="11"/>
      <c r="B238" s="11"/>
      <c r="C238" s="11"/>
      <c r="D238" s="11"/>
      <c r="E238" s="11"/>
      <c r="F238" s="11"/>
      <c r="G238" s="11"/>
      <c r="H238" s="11"/>
      <c r="I238" s="11"/>
      <c r="J238" s="17"/>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row>
    <row r="239" spans="1:57" ht="15.75" customHeight="1">
      <c r="A239" s="11"/>
      <c r="B239" s="11"/>
      <c r="C239" s="11"/>
      <c r="D239" s="11"/>
      <c r="E239" s="11"/>
      <c r="F239" s="11"/>
      <c r="G239" s="11"/>
      <c r="H239" s="11"/>
      <c r="I239" s="11"/>
      <c r="J239" s="17"/>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row>
    <row r="240" spans="1:57" ht="15.75" customHeight="1">
      <c r="A240" s="11"/>
      <c r="B240" s="11"/>
      <c r="C240" s="11"/>
      <c r="D240" s="11"/>
      <c r="E240" s="11"/>
      <c r="F240" s="11"/>
      <c r="G240" s="11"/>
      <c r="H240" s="11"/>
      <c r="I240" s="11"/>
      <c r="J240" s="17"/>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row>
    <row r="241" spans="1:57" ht="15.75" customHeight="1">
      <c r="A241" s="11"/>
      <c r="B241" s="11"/>
      <c r="C241" s="11"/>
      <c r="D241" s="11"/>
      <c r="E241" s="11"/>
      <c r="F241" s="11"/>
      <c r="G241" s="11"/>
      <c r="H241" s="11"/>
      <c r="I241" s="11"/>
      <c r="J241" s="17"/>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row>
    <row r="242" spans="1:57" ht="15.75" customHeight="1">
      <c r="A242" s="11"/>
      <c r="B242" s="11"/>
      <c r="C242" s="11"/>
      <c r="D242" s="11"/>
      <c r="E242" s="11"/>
      <c r="F242" s="11"/>
      <c r="G242" s="11"/>
      <c r="H242" s="11"/>
      <c r="I242" s="11"/>
      <c r="J242" s="17"/>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row>
    <row r="243" spans="1:57" ht="15.75" customHeight="1">
      <c r="A243" s="11"/>
      <c r="B243" s="11"/>
      <c r="C243" s="11"/>
      <c r="D243" s="11"/>
      <c r="E243" s="11"/>
      <c r="F243" s="11"/>
      <c r="G243" s="11"/>
      <c r="H243" s="11"/>
      <c r="I243" s="11"/>
      <c r="J243" s="17"/>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row>
    <row r="244" spans="1:57" ht="15.75" customHeight="1">
      <c r="A244" s="11"/>
      <c r="B244" s="11"/>
      <c r="C244" s="11"/>
      <c r="D244" s="11"/>
      <c r="E244" s="11"/>
      <c r="F244" s="11"/>
      <c r="G244" s="11"/>
      <c r="H244" s="11"/>
      <c r="I244" s="11"/>
      <c r="J244" s="17"/>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row>
    <row r="245" spans="1:57" ht="15.75" customHeight="1">
      <c r="A245" s="11"/>
      <c r="B245" s="11"/>
      <c r="C245" s="11"/>
      <c r="D245" s="11"/>
      <c r="E245" s="11"/>
      <c r="F245" s="11"/>
      <c r="G245" s="11"/>
      <c r="H245" s="11"/>
      <c r="I245" s="11"/>
      <c r="J245" s="17"/>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row>
    <row r="246" spans="1:57" ht="15.75" customHeight="1">
      <c r="A246" s="11"/>
      <c r="B246" s="11"/>
      <c r="C246" s="11"/>
      <c r="D246" s="11"/>
      <c r="E246" s="11"/>
      <c r="F246" s="11"/>
      <c r="G246" s="11"/>
      <c r="H246" s="11"/>
      <c r="I246" s="11"/>
      <c r="J246" s="17"/>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row>
    <row r="247" spans="1:57" ht="15.75" customHeight="1">
      <c r="A247" s="11"/>
      <c r="B247" s="11"/>
      <c r="C247" s="11"/>
      <c r="D247" s="11"/>
      <c r="E247" s="11"/>
      <c r="F247" s="11"/>
      <c r="G247" s="11"/>
      <c r="H247" s="11"/>
      <c r="I247" s="11"/>
      <c r="J247" s="17"/>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row>
    <row r="248" spans="1:57"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row>
    <row r="249" spans="1:57"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row>
    <row r="250" spans="1:57"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row>
    <row r="251" spans="1:57"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row>
    <row r="252" spans="1:57"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row>
    <row r="253" spans="1:57"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row>
    <row r="254" spans="1:57"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row>
    <row r="255" spans="1:57"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row>
    <row r="256" spans="1:57"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row>
    <row r="257" spans="1: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row>
    <row r="258" spans="1:57"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row>
    <row r="259" spans="1:57"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row>
    <row r="260" spans="1:57"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row>
    <row r="261" spans="1:57"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row>
    <row r="262" spans="1:57"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row>
    <row r="263" spans="1:57"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row>
    <row r="264" spans="1:57"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row>
    <row r="265" spans="1:57"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row>
    <row r="266" spans="1:57"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row>
    <row r="267" spans="1:5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row>
    <row r="268" spans="1:57"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row>
    <row r="269" spans="1:57"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row>
    <row r="270" spans="1:57"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row>
    <row r="271" spans="1:57"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row>
    <row r="272" spans="1:57"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row>
    <row r="273" spans="1:57"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row>
    <row r="274" spans="1:57"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row>
    <row r="275" spans="1:57"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row>
    <row r="276" spans="1:57"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row>
    <row r="277" spans="1:5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row>
    <row r="278" spans="1:57"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row>
    <row r="279" spans="1:57"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row>
    <row r="280" spans="1:57"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row>
    <row r="281" spans="1:57"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row>
    <row r="282" spans="1:57"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row>
    <row r="283" spans="1:57"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row>
    <row r="284" spans="1:57"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row>
    <row r="285" spans="1:57"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row>
    <row r="286" spans="1:57"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row>
    <row r="287" spans="1:5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row>
    <row r="288" spans="1:57"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row>
    <row r="289" spans="1:57"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row>
    <row r="290" spans="1:57"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row>
    <row r="291" spans="1:57"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row>
    <row r="292" spans="1:57"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row>
    <row r="293" spans="1:57"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row>
    <row r="294" spans="1:57"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row>
    <row r="295" spans="1:57"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row>
    <row r="296" spans="1:57"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row>
    <row r="297" spans="1:5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row>
    <row r="298" spans="1:57"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row>
    <row r="299" spans="1:57"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row>
    <row r="300" spans="1:57"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row>
    <row r="301" spans="1:57"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row>
    <row r="302" spans="1:57"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row>
    <row r="303" spans="1:57"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row>
    <row r="304" spans="1:57"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row>
    <row r="305" spans="1:57"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row>
    <row r="306" spans="1:57"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row>
    <row r="307" spans="1:5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row>
    <row r="308" spans="1:57"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row>
    <row r="309" spans="1:57"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row>
    <row r="310" spans="1:57"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row>
    <row r="311" spans="1:57"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row>
    <row r="312" spans="1:57"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row>
    <row r="313" spans="1:57"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row>
    <row r="314" spans="1:57"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row>
    <row r="315" spans="1:57"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row>
    <row r="316" spans="1:57"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row>
    <row r="317" spans="1:5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row>
    <row r="318" spans="1:57"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row>
    <row r="319" spans="1:57"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row>
    <row r="320" spans="1:57"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row>
    <row r="321" spans="1:57"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row>
    <row r="322" spans="1:57"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row>
    <row r="323" spans="1:57"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row>
    <row r="324" spans="1:57"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row>
    <row r="325" spans="1:57"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row>
    <row r="326" spans="1:57"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row>
    <row r="327" spans="1:5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row>
    <row r="328" spans="1:57"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row>
    <row r="329" spans="1:57"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row>
    <row r="330" spans="1:57"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row>
    <row r="331" spans="1:57"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row>
    <row r="332" spans="1:57"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row>
    <row r="333" spans="1:57"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row>
    <row r="334" spans="1:57"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row>
    <row r="335" spans="1:57"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row>
    <row r="336" spans="1:57"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row>
    <row r="337" spans="1:5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row>
    <row r="338" spans="1:57"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row>
    <row r="339" spans="1:57"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row>
    <row r="340" spans="1:57"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row>
    <row r="341" spans="1:57"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row>
    <row r="342" spans="1:57"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row>
    <row r="343" spans="1:57"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row>
    <row r="344" spans="1:57"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row>
    <row r="345" spans="1:57"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row>
    <row r="346" spans="1:57"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row>
    <row r="347" spans="1:5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row>
    <row r="348" spans="1:57"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row>
    <row r="349" spans="1:57"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row>
    <row r="350" spans="1:57"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row>
    <row r="351" spans="1:57"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row>
    <row r="352" spans="1:57"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row>
    <row r="353" spans="1:57"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row>
    <row r="354" spans="1:57"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row>
    <row r="355" spans="1:57"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row>
    <row r="356" spans="1:57"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row>
    <row r="357" spans="1: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row>
    <row r="358" spans="1:57"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row>
    <row r="359" spans="1:57"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row>
    <row r="360" spans="1:57"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row>
    <row r="361" spans="1:57"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row>
    <row r="362" spans="1:57"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row>
    <row r="363" spans="1:57"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row>
    <row r="364" spans="1:57"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row>
    <row r="365" spans="1:57"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row>
    <row r="366" spans="1:57"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row>
    <row r="367" spans="1:5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row>
    <row r="368" spans="1:57"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row>
    <row r="369" spans="1:57"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row>
    <row r="370" spans="1:57"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row>
    <row r="371" spans="1:57"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row>
    <row r="372" spans="1:57"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row>
    <row r="373" spans="1:57"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row>
    <row r="374" spans="1:57"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row>
    <row r="375" spans="1:57"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row>
    <row r="376" spans="1:57"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row>
    <row r="377" spans="1:5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row>
    <row r="378" spans="1:57"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row>
    <row r="379" spans="1:57"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row>
    <row r="380" spans="1:57"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row>
    <row r="381" spans="1:57"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row>
    <row r="382" spans="1:57"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row>
    <row r="383" spans="1:57"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row>
    <row r="384" spans="1:57"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row>
    <row r="385" spans="1:57"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row>
    <row r="386" spans="1:57"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row>
    <row r="387" spans="1:5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row>
    <row r="388" spans="1:57"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row>
    <row r="389" spans="1:57"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row>
    <row r="390" spans="1:57"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row>
    <row r="391" spans="1:57"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row>
    <row r="392" spans="1:57"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row>
    <row r="393" spans="1:57"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row>
    <row r="394" spans="1:57"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row>
    <row r="395" spans="1:57"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row>
    <row r="396" spans="1:57"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row>
    <row r="397" spans="1:5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row>
    <row r="398" spans="1:57"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row>
    <row r="399" spans="1:57"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row>
    <row r="400" spans="1:57"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row>
    <row r="401" spans="1:57"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row>
    <row r="402" spans="1:57"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row>
    <row r="403" spans="1:57"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row>
    <row r="404" spans="1:57"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row>
    <row r="405" spans="1:57"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row>
    <row r="406" spans="1:57"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row>
    <row r="407" spans="1:5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row>
    <row r="408" spans="1:57"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row>
    <row r="409" spans="1:57"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row>
    <row r="410" spans="1:57"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row>
    <row r="411" spans="1:57"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row>
    <row r="412" spans="1:57"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row>
    <row r="413" spans="1:57"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row>
    <row r="414" spans="1:57"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row>
    <row r="415" spans="1:57"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row>
    <row r="416" spans="1:57"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row>
    <row r="417" spans="1:5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row>
    <row r="418" spans="1:57"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row>
    <row r="419" spans="1:57"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row>
    <row r="420" spans="1:57"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row>
    <row r="421" spans="1:57"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row>
    <row r="422" spans="1:57"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row>
    <row r="423" spans="1:57"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row>
    <row r="424" spans="1:57"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row>
    <row r="425" spans="1:57"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row>
    <row r="426" spans="1:57"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row>
    <row r="427" spans="1:5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row>
    <row r="428" spans="1:57"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row>
    <row r="429" spans="1:57"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row>
    <row r="430" spans="1:57"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row>
    <row r="431" spans="1:57"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row>
    <row r="432" spans="1:57"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row>
    <row r="433" spans="1:57"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row>
    <row r="434" spans="1:57"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row>
    <row r="435" spans="1:57"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row>
    <row r="436" spans="1:57"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row>
    <row r="437" spans="1:5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row>
    <row r="438" spans="1:57"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row>
    <row r="439" spans="1:57"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row>
    <row r="440" spans="1:57"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row>
    <row r="441" spans="1:57"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row>
    <row r="442" spans="1:57"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row>
    <row r="443" spans="1:57"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row>
    <row r="444" spans="1:57"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row>
    <row r="445" spans="1:57"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row>
    <row r="446" spans="1:57"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row>
    <row r="447" spans="1:5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row>
    <row r="448" spans="1:57"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row>
    <row r="449" spans="1:57"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row>
    <row r="450" spans="1:57"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row>
    <row r="451" spans="1:57"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row>
    <row r="452" spans="1:57"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row>
    <row r="453" spans="1:57"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row>
    <row r="454" spans="1:57"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row>
    <row r="455" spans="1:57"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row>
    <row r="456" spans="1:57"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row>
    <row r="457" spans="1: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row>
    <row r="458" spans="1:57"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row>
    <row r="459" spans="1:57"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row>
    <row r="460" spans="1:57"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row>
    <row r="461" spans="1:57"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row>
    <row r="462" spans="1:57"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row>
    <row r="463" spans="1:57"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row>
    <row r="464" spans="1:57"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row>
    <row r="465" spans="1:57"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row>
    <row r="466" spans="1:57"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row>
    <row r="467" spans="1:5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row>
    <row r="468" spans="1:57"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row>
    <row r="469" spans="1:57"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row>
    <row r="470" spans="1:57"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row>
    <row r="471" spans="1:57"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row>
    <row r="472" spans="1:57"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row>
    <row r="473" spans="1:57"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row>
    <row r="474" spans="1:57"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row>
    <row r="475" spans="1:57"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row>
    <row r="476" spans="1:57"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row>
    <row r="477" spans="1:5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row>
    <row r="478" spans="1:57"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row>
    <row r="479" spans="1:57"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row>
    <row r="480" spans="1:57"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row>
    <row r="481" spans="1:57"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row>
    <row r="482" spans="1:57"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row>
    <row r="483" spans="1:57"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row>
    <row r="484" spans="1:57"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row>
    <row r="485" spans="1:57"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row>
    <row r="486" spans="1:57"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row>
    <row r="487" spans="1:5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row>
    <row r="488" spans="1:57"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row>
    <row r="489" spans="1:57"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row>
    <row r="490" spans="1:57"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row>
    <row r="491" spans="1:57"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row>
    <row r="492" spans="1:57"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row>
    <row r="493" spans="1:57"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row>
    <row r="494" spans="1:57"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row>
    <row r="495" spans="1:57"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row>
    <row r="496" spans="1:57"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row>
    <row r="497" spans="1:5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row>
    <row r="498" spans="1:57"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row>
    <row r="499" spans="1:57"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row>
    <row r="500" spans="1:57"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row>
    <row r="501" spans="1:57"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row>
    <row r="502" spans="1:57"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row>
    <row r="503" spans="1:57"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row>
    <row r="504" spans="1:57"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row>
    <row r="505" spans="1:57"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row>
    <row r="506" spans="1:57"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row>
    <row r="507" spans="1:5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row>
    <row r="508" spans="1:57"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row>
    <row r="509" spans="1:57"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row>
    <row r="510" spans="1:57"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row>
    <row r="511" spans="1:57"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row>
    <row r="512" spans="1:57"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row>
    <row r="513" spans="1:57"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row>
    <row r="514" spans="1:57"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row>
    <row r="515" spans="1:57"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row>
    <row r="516" spans="1:57"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row>
    <row r="517" spans="1:5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row>
    <row r="518" spans="1:57"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row>
    <row r="519" spans="1:57"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row>
    <row r="520" spans="1:57"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row>
    <row r="521" spans="1:57"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row>
    <row r="522" spans="1:57"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row>
    <row r="523" spans="1:57"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row>
    <row r="524" spans="1:57"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row>
    <row r="525" spans="1:57"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row>
    <row r="526" spans="1:57"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row>
    <row r="527" spans="1:5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row>
    <row r="528" spans="1:57"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row>
    <row r="529" spans="1:57"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row>
    <row r="530" spans="1:57"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row>
    <row r="531" spans="1:57"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row>
    <row r="532" spans="1:57"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row>
    <row r="533" spans="1:57"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row>
    <row r="534" spans="1:57"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row>
    <row r="535" spans="1:57"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row>
    <row r="536" spans="1:57"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row>
    <row r="537" spans="1:5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row>
    <row r="538" spans="1:57"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row>
    <row r="539" spans="1:57"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row>
    <row r="540" spans="1:57"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row>
    <row r="541" spans="1:57"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row>
    <row r="542" spans="1:57"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row>
    <row r="543" spans="1:57"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row>
    <row r="544" spans="1:57"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row>
    <row r="545" spans="1:57"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row>
    <row r="546" spans="1:57"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row>
    <row r="547" spans="1:5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row>
    <row r="548" spans="1:57"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row>
    <row r="549" spans="1:57"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row>
    <row r="550" spans="1:57"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row>
    <row r="551" spans="1:57"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row>
    <row r="552" spans="1:57"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row>
    <row r="553" spans="1:57"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row>
    <row r="554" spans="1:57"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row>
    <row r="555" spans="1:57"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row>
    <row r="556" spans="1:57"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row>
    <row r="557" spans="1: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row>
    <row r="558" spans="1:57"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row>
    <row r="559" spans="1:57"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row>
    <row r="560" spans="1:57"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row>
    <row r="561" spans="1:57"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row>
    <row r="562" spans="1:57"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row>
    <row r="563" spans="1:57"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row>
    <row r="564" spans="1:57"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row>
    <row r="565" spans="1:57"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row>
    <row r="566" spans="1:57"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row>
    <row r="567" spans="1:5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row>
    <row r="568" spans="1:57"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row>
    <row r="569" spans="1:57"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row>
    <row r="570" spans="1:57"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row>
    <row r="571" spans="1:57"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row>
    <row r="572" spans="1:57"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row>
    <row r="573" spans="1:57"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row>
    <row r="574" spans="1:57"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row>
    <row r="575" spans="1:57"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row>
    <row r="576" spans="1:57"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row>
    <row r="577" spans="1:5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row>
    <row r="578" spans="1:57"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row>
    <row r="579" spans="1:57"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row>
    <row r="580" spans="1:57"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row>
    <row r="581" spans="1:57"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row>
    <row r="582" spans="1:57"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row>
    <row r="583" spans="1:57"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row>
    <row r="584" spans="1:57"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row>
    <row r="585" spans="1:57"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row>
    <row r="586" spans="1:57"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row>
    <row r="587" spans="1:5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row>
    <row r="588" spans="1:57"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row>
    <row r="589" spans="1:57"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row>
    <row r="590" spans="1:57"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row>
    <row r="591" spans="1:57"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row>
    <row r="592" spans="1:57"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row>
    <row r="593" spans="1:57"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row>
    <row r="594" spans="1:57"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row>
    <row r="595" spans="1:57"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row>
    <row r="596" spans="1:57"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row>
    <row r="597" spans="1:5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row>
    <row r="598" spans="1:57"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row>
    <row r="599" spans="1:57"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row>
    <row r="600" spans="1:57"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row>
    <row r="601" spans="1:57"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row>
    <row r="602" spans="1:57"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row>
    <row r="603" spans="1:57"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row>
    <row r="604" spans="1:57"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row>
    <row r="605" spans="1:57"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row>
    <row r="606" spans="1:57"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row>
    <row r="607" spans="1:5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row>
    <row r="608" spans="1:57"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row>
    <row r="609" spans="1:57"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row>
    <row r="610" spans="1:57"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row>
    <row r="611" spans="1:57"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row>
    <row r="612" spans="1:57"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row>
    <row r="613" spans="1:57"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row>
    <row r="614" spans="1:57"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row>
    <row r="615" spans="1:57"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row>
    <row r="616" spans="1:57"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row>
    <row r="617" spans="1:5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row>
    <row r="618" spans="1:57"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row>
    <row r="619" spans="1:57"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row>
    <row r="620" spans="1:57"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row>
    <row r="621" spans="1:57"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row>
    <row r="622" spans="1:57"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row>
    <row r="623" spans="1:57"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row>
    <row r="624" spans="1:57"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row>
    <row r="625" spans="1:57"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row>
    <row r="626" spans="1:57"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row>
    <row r="627" spans="1:5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row>
    <row r="628" spans="1:57"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row>
    <row r="629" spans="1:57"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row>
    <row r="630" spans="1:57"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row>
    <row r="631" spans="1:57"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row>
    <row r="632" spans="1:57"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row>
    <row r="633" spans="1:57"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row>
    <row r="634" spans="1:57"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row>
    <row r="635" spans="1:57"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row>
    <row r="636" spans="1:57"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row>
    <row r="637" spans="1:5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row>
    <row r="638" spans="1:57"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row>
    <row r="639" spans="1:57"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row>
    <row r="640" spans="1:57"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row>
    <row r="641" spans="1:57"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row>
    <row r="642" spans="1:57"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row>
    <row r="643" spans="1:57"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row>
    <row r="644" spans="1:57"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row>
    <row r="645" spans="1:57"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row>
    <row r="646" spans="1:57"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row>
    <row r="647" spans="1:5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row>
    <row r="648" spans="1:57"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row>
    <row r="649" spans="1:57"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row>
    <row r="650" spans="1:57"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row>
    <row r="651" spans="1:57"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row>
    <row r="652" spans="1:57"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row>
    <row r="653" spans="1:57"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row>
    <row r="654" spans="1:57"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row>
    <row r="655" spans="1:57"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row>
    <row r="656" spans="1:57"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row>
    <row r="657" spans="1: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row>
    <row r="658" spans="1:57"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row>
    <row r="659" spans="1:57"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row>
    <row r="660" spans="1:57"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row>
    <row r="661" spans="1:57"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row>
    <row r="662" spans="1:57"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row>
    <row r="663" spans="1:57"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row>
    <row r="664" spans="1:57"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row>
    <row r="665" spans="1:57"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row>
    <row r="666" spans="1:57"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row>
    <row r="667" spans="1:5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row>
    <row r="668" spans="1:57"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row>
    <row r="669" spans="1:57"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row>
    <row r="670" spans="1:57"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row>
    <row r="671" spans="1:57"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row>
    <row r="672" spans="1:57"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row>
    <row r="673" spans="1:57"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row>
    <row r="674" spans="1:57"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row>
    <row r="675" spans="1:57"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row>
    <row r="676" spans="1:57"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row>
    <row r="677" spans="1:5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row>
    <row r="678" spans="1:57"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row>
    <row r="679" spans="1:57"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row>
    <row r="680" spans="1:57"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row>
    <row r="681" spans="1:57"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row>
    <row r="682" spans="1:57"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row>
    <row r="683" spans="1:57"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row>
    <row r="684" spans="1:57"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row>
    <row r="685" spans="1:57"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row>
    <row r="686" spans="1:57"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row>
    <row r="687" spans="1:5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row>
    <row r="688" spans="1:57"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row>
    <row r="689" spans="1:57"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row>
    <row r="690" spans="1:57"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row>
    <row r="691" spans="1:57"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row>
    <row r="692" spans="1:57"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row>
    <row r="693" spans="1:57"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row>
    <row r="694" spans="1:57"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row>
    <row r="695" spans="1:57"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row>
    <row r="696" spans="1:57"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row>
    <row r="697" spans="1:5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row>
    <row r="698" spans="1:57"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row>
    <row r="699" spans="1:57"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row>
    <row r="700" spans="1:57"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row>
    <row r="701" spans="1:57"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row>
    <row r="702" spans="1:57"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row>
    <row r="703" spans="1:57"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row>
    <row r="704" spans="1:57"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row>
    <row r="705" spans="1:57"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row>
    <row r="706" spans="1:57"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row>
    <row r="707" spans="1:5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row>
    <row r="708" spans="1:57"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row>
    <row r="709" spans="1:57"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row>
    <row r="710" spans="1:57"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row>
    <row r="711" spans="1:57"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row>
    <row r="712" spans="1:57"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row>
    <row r="713" spans="1:57"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row>
    <row r="714" spans="1:57"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row>
    <row r="715" spans="1:57"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row>
    <row r="716" spans="1:57"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row>
    <row r="717" spans="1:5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row>
    <row r="718" spans="1:57"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row>
    <row r="719" spans="1:57"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row>
    <row r="720" spans="1:57"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row>
    <row r="721" spans="1:57"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row>
    <row r="722" spans="1:57"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row>
    <row r="723" spans="1:57"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row>
    <row r="724" spans="1:57"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row>
    <row r="725" spans="1:57"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row>
    <row r="726" spans="1:57"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row>
    <row r="727" spans="1:5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row>
    <row r="728" spans="1:57"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row>
    <row r="729" spans="1:57"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row>
    <row r="730" spans="1:57"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row>
    <row r="731" spans="1:57"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row>
    <row r="732" spans="1:57"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row>
    <row r="733" spans="1:57"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row>
    <row r="734" spans="1:57"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row>
    <row r="735" spans="1:57"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row>
    <row r="736" spans="1:57"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row>
    <row r="737" spans="1:5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row>
    <row r="738" spans="1:57"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row>
    <row r="739" spans="1:57"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row>
    <row r="740" spans="1:57"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row>
    <row r="741" spans="1:57"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row>
    <row r="742" spans="1:57"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row>
    <row r="743" spans="1:57"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row>
    <row r="744" spans="1:57"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row>
    <row r="745" spans="1:57"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row>
    <row r="746" spans="1:57"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row>
    <row r="747" spans="1:5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row>
    <row r="748" spans="1:57"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row>
    <row r="749" spans="1:57"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row>
    <row r="750" spans="1:57"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row>
    <row r="751" spans="1:57"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row>
    <row r="752" spans="1:57"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row>
    <row r="753" spans="1:57"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row>
    <row r="754" spans="1:57"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row>
    <row r="755" spans="1:57"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row>
    <row r="756" spans="1:57"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row>
    <row r="757" spans="1: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row>
    <row r="758" spans="1:57"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row>
    <row r="759" spans="1:57"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row>
    <row r="760" spans="1:57"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row>
    <row r="761" spans="1:57"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row>
    <row r="762" spans="1:57"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row>
    <row r="763" spans="1:57"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row>
    <row r="764" spans="1:57"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row>
    <row r="765" spans="1:57"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row>
    <row r="766" spans="1:57"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row>
    <row r="767" spans="1:5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row>
    <row r="768" spans="1:57"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row>
    <row r="769" spans="1:57"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row>
    <row r="770" spans="1:57"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row>
    <row r="771" spans="1:57"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row>
    <row r="772" spans="1:57"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row>
    <row r="773" spans="1:57"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row>
    <row r="774" spans="1:57"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row>
    <row r="775" spans="1:57"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row>
    <row r="776" spans="1:57"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row>
    <row r="777" spans="1:5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row>
    <row r="778" spans="1:57"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row>
    <row r="779" spans="1:57"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row>
    <row r="780" spans="1:57"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row>
    <row r="781" spans="1:57"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row>
    <row r="782" spans="1:57"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row>
    <row r="783" spans="1:57"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row>
    <row r="784" spans="1:57"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row>
    <row r="785" spans="1:57"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row>
    <row r="786" spans="1:57"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row>
    <row r="787" spans="1:5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row>
    <row r="788" spans="1:57"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row>
    <row r="789" spans="1:57"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row>
    <row r="790" spans="1:57"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row>
    <row r="791" spans="1:57"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row>
    <row r="792" spans="1:57"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row>
    <row r="793" spans="1:57"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row>
    <row r="794" spans="1:57"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row>
    <row r="795" spans="1:57"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row>
    <row r="796" spans="1:57"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row>
    <row r="797" spans="1:5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row>
    <row r="798" spans="1:57"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row>
    <row r="799" spans="1:57"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row>
    <row r="800" spans="1:57"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row>
    <row r="801" spans="1:57"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row>
    <row r="802" spans="1:57"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row>
    <row r="803" spans="1:57"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row>
    <row r="804" spans="1:57"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row>
    <row r="805" spans="1:57"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row>
    <row r="806" spans="1:57"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row>
    <row r="807" spans="1:5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row>
    <row r="808" spans="1:57"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row>
    <row r="809" spans="1:57"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row>
    <row r="810" spans="1:57"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row>
    <row r="811" spans="1:57"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row>
    <row r="812" spans="1:57"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row>
    <row r="813" spans="1:57"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row>
    <row r="814" spans="1:57"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row>
    <row r="815" spans="1:57"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row>
    <row r="816" spans="1:57"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row>
    <row r="817" spans="1:5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row>
    <row r="818" spans="1:57"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row>
    <row r="819" spans="1:57"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row>
    <row r="820" spans="1:57"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row>
    <row r="821" spans="1:57"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row>
    <row r="822" spans="1:57"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row>
    <row r="823" spans="1:57"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row>
    <row r="824" spans="1:57"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row>
    <row r="825" spans="1:57"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row>
    <row r="826" spans="1:57"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row>
    <row r="827" spans="1:5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row>
    <row r="828" spans="1:57"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row>
    <row r="829" spans="1:57"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row>
    <row r="830" spans="1:57"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row>
    <row r="831" spans="1:57"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row>
    <row r="832" spans="1:57"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row>
    <row r="833" spans="1:57"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row>
    <row r="834" spans="1:57"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row>
    <row r="835" spans="1:57"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row>
    <row r="836" spans="1:57"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row>
    <row r="837" spans="1:5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row>
    <row r="838" spans="1:57"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row>
    <row r="839" spans="1:57"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row>
    <row r="840" spans="1:57"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row>
    <row r="841" spans="1:57"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row>
    <row r="842" spans="1:57"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row>
    <row r="843" spans="1:57"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row>
    <row r="844" spans="1:57"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row>
    <row r="845" spans="1:57"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row>
    <row r="846" spans="1:57"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row>
    <row r="847" spans="1:5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row>
    <row r="848" spans="1:57"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row>
    <row r="849" spans="1:57"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row>
    <row r="850" spans="1:57"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row>
    <row r="851" spans="1:57"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row>
    <row r="852" spans="1:57"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row>
    <row r="853" spans="1:57"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row>
    <row r="854" spans="1:57"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row>
    <row r="855" spans="1:57"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row>
    <row r="856" spans="1:57"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row>
    <row r="857" spans="1: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row>
    <row r="858" spans="1:57"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row>
    <row r="859" spans="1:57"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row>
    <row r="860" spans="1:57"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row>
    <row r="861" spans="1:57"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row>
    <row r="862" spans="1:57"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row>
    <row r="863" spans="1:57"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row>
    <row r="864" spans="1:57"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row>
    <row r="865" spans="1:57"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row>
    <row r="866" spans="1:57"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row>
    <row r="867" spans="1:5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row>
    <row r="868" spans="1:57"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row>
    <row r="869" spans="1:57"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row>
    <row r="870" spans="1:57"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row>
    <row r="871" spans="1:57"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row>
    <row r="872" spans="1:57"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row>
    <row r="873" spans="1:57"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row>
    <row r="874" spans="1:57"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row>
    <row r="875" spans="1:57"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row>
    <row r="876" spans="1:57"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row>
    <row r="877" spans="1:5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row>
    <row r="878" spans="1:57"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row>
    <row r="879" spans="1:57"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row>
    <row r="880" spans="1:57"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row>
    <row r="881" spans="1:57"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row>
    <row r="882" spans="1:57"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row>
    <row r="883" spans="1:57"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row>
    <row r="884" spans="1:57"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row>
    <row r="885" spans="1:57"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row>
    <row r="886" spans="1:57"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row>
    <row r="887" spans="1:5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row>
    <row r="888" spans="1:57"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row>
    <row r="889" spans="1:57"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row>
    <row r="890" spans="1:57"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row>
    <row r="891" spans="1:57"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row>
    <row r="892" spans="1:57"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row>
    <row r="893" spans="1:57"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row>
    <row r="894" spans="1:57"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row>
    <row r="895" spans="1:57"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row>
    <row r="896" spans="1:57"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row>
    <row r="897" spans="1:5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row>
    <row r="898" spans="1:57"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row>
    <row r="899" spans="1:57"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row>
    <row r="900" spans="1:57"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row>
    <row r="901" spans="1:57"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row>
    <row r="902" spans="1:57"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row>
    <row r="903" spans="1:57"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row>
    <row r="904" spans="1:57"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row>
    <row r="905" spans="1:57"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row>
    <row r="906" spans="1:57"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row>
    <row r="907" spans="1:5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row>
    <row r="908" spans="1:57"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row>
    <row r="909" spans="1:57"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row>
    <row r="910" spans="1:57"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row>
    <row r="911" spans="1:57"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row>
    <row r="912" spans="1:57"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row>
    <row r="913" spans="1:57"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row>
    <row r="914" spans="1:57"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row>
    <row r="915" spans="1:57"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row>
    <row r="916" spans="1:57"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row>
    <row r="917" spans="1:5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row>
    <row r="918" spans="1:57"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row>
    <row r="919" spans="1:57"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row>
    <row r="920" spans="1:57"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row>
    <row r="921" spans="1:57"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row>
    <row r="922" spans="1:57"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row>
    <row r="923" spans="1:57"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row>
    <row r="924" spans="1:57"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row>
    <row r="925" spans="1:57"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row>
    <row r="926" spans="1:57"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row>
    <row r="927" spans="1:5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row>
    <row r="928" spans="1:57"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row>
    <row r="929" spans="1:57"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row>
    <row r="930" spans="1:57"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row>
    <row r="931" spans="1:57"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row>
    <row r="932" spans="1:57"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row>
    <row r="933" spans="1:57"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row>
    <row r="934" spans="1:57"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row>
    <row r="935" spans="1:57"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row>
    <row r="936" spans="1:57"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row>
    <row r="937" spans="1:5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row>
    <row r="938" spans="1:57"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row>
    <row r="939" spans="1:57"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row>
    <row r="940" spans="1:57"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row>
    <row r="941" spans="1:57"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row>
    <row r="942" spans="1:57"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row>
    <row r="943" spans="1:57"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row>
    <row r="944" spans="1:57"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row>
    <row r="945" spans="1:57"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row>
    <row r="946" spans="1:57"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row>
    <row r="947" spans="1:5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row>
    <row r="948" spans="1:57"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row>
    <row r="949" spans="1:57"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row>
    <row r="950" spans="1:57"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row>
    <row r="951" spans="1:57"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row>
    <row r="952" spans="1:57"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row>
    <row r="953" spans="1:57"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row>
    <row r="954" spans="1:57"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row>
    <row r="955" spans="1:57"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row>
    <row r="956" spans="1:57"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row>
    <row r="957" spans="1: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row>
    <row r="958" spans="1:57"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row>
    <row r="959" spans="1:57"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row>
    <row r="960" spans="1:57"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row>
    <row r="961" spans="1:57"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row>
    <row r="962" spans="1:57"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row>
    <row r="963" spans="1:57"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row>
  </sheetData>
  <customSheetViews>
    <customSheetView guid="{3FCA167B-C8DC-4F1C-A2FE-904FA182E115}" filter="1" showAutoFilter="1">
      <pageMargins left="0" right="0" top="0" bottom="0" header="0" footer="0"/>
      <autoFilter ref="A1:AL74" xr:uid="{57538182-3DF8-471B-A60D-7AE7F04A6D36}">
        <filterColumn colId="34">
          <filters>
            <filter val="Status android"/>
            <filter val="Not Start"/>
          </filters>
        </filterColumn>
      </autoFilter>
      <extLst>
        <ext uri="GoogleSheetsCustomDataVersion1">
          <go:sheetsCustomData xmlns:go="http://customooxmlschemas.google.com/" filterViewId="493078579"/>
        </ext>
      </extLst>
    </customSheetView>
  </customSheetViews>
  <mergeCells count="36">
    <mergeCell ref="AM1:AM3"/>
    <mergeCell ref="AP1:AP3"/>
    <mergeCell ref="AQ1:AQ3"/>
    <mergeCell ref="A1:A3"/>
    <mergeCell ref="W1:X2"/>
    <mergeCell ref="Y1:Z2"/>
    <mergeCell ref="AK1:AK3"/>
    <mergeCell ref="AL1:AL3"/>
    <mergeCell ref="AN1:AN3"/>
    <mergeCell ref="AO1:AO3"/>
    <mergeCell ref="AA1:AC2"/>
    <mergeCell ref="Q1:Q3"/>
    <mergeCell ref="R1:R3"/>
    <mergeCell ref="AJ1:AJ3"/>
    <mergeCell ref="AD1:AE2"/>
    <mergeCell ref="AH1:AI2"/>
    <mergeCell ref="W13:X13"/>
    <mergeCell ref="K1:P1"/>
    <mergeCell ref="K2:K3"/>
    <mergeCell ref="L2:L3"/>
    <mergeCell ref="M2:P2"/>
    <mergeCell ref="AF1:AG2"/>
    <mergeCell ref="S1:S3"/>
    <mergeCell ref="T1:T3"/>
    <mergeCell ref="U1:V2"/>
    <mergeCell ref="B1:B3"/>
    <mergeCell ref="C1:C3"/>
    <mergeCell ref="H1:H3"/>
    <mergeCell ref="I1:I3"/>
    <mergeCell ref="J1:J3"/>
    <mergeCell ref="D1:E1"/>
    <mergeCell ref="F1:G1"/>
    <mergeCell ref="D2:D3"/>
    <mergeCell ref="E2:E3"/>
    <mergeCell ref="F2:F3"/>
    <mergeCell ref="G2:G3"/>
  </mergeCells>
  <conditionalFormatting sqref="M3:P3 K2:L2">
    <cfRule type="colorScale" priority="1">
      <colorScale>
        <cfvo type="min"/>
        <cfvo type="max"/>
        <color rgb="FFFFFFFF"/>
        <color rgb="FF57BB8A"/>
      </colorScale>
    </cfRule>
  </conditionalFormatting>
  <dataValidations count="2">
    <dataValidation type="list" allowBlank="1" showErrorMessage="1" sqref="J4:J36" xr:uid="{00000000-0002-0000-0000-000000000000}">
      <formula1>"Positive,Negative"</formula1>
    </dataValidation>
    <dataValidation type="list" allowBlank="1" showErrorMessage="1" sqref="D14:G14 AN4:AO36" xr:uid="{00000000-0002-0000-0000-000001000000}">
      <formula1>"Not Start,Inprogress,Failed,Passed,Skip,Block"</formula1>
    </dataValidation>
  </dataValidations>
  <hyperlinks>
    <hyperlink ref="F4" r:id="rId1" xr:uid="{1052FCB6-3303-408A-A991-F12A10705095}"/>
    <hyperlink ref="F5" r:id="rId2" xr:uid="{D22B606F-A94B-4277-B2FE-D399DA808752}"/>
    <hyperlink ref="F12" r:id="rId3" xr:uid="{87B838DB-5BBD-47C1-94BA-028C6831210E}"/>
    <hyperlink ref="F15" r:id="rId4" xr:uid="{E63AB28B-9BBD-4BC6-ADF6-5BCF2FC3DEC7}"/>
    <hyperlink ref="F16" r:id="rId5" xr:uid="{ADEA721C-045B-4E88-A51D-F43F7B514E33}"/>
    <hyperlink ref="F17" r:id="rId6" xr:uid="{E4628DA5-38CA-40BF-BBE6-51E00565A345}"/>
    <hyperlink ref="F18" r:id="rId7" xr:uid="{BDB9D382-B599-4B0A-B3DB-F44FADC2E461}"/>
    <hyperlink ref="F19" r:id="rId8" xr:uid="{6F423D42-9ED1-4530-AAC6-6EC8ECA99005}"/>
    <hyperlink ref="F20" r:id="rId9" xr:uid="{2F09FC96-20B3-4625-A87A-28AF9388CB6B}"/>
    <hyperlink ref="F21" r:id="rId10" xr:uid="{615B15FF-151B-45F9-80C5-D243B710E8DC}"/>
    <hyperlink ref="F23" r:id="rId11" xr:uid="{BC804C8B-03C0-482F-A98C-44810E3511D2}"/>
    <hyperlink ref="F24" r:id="rId12" xr:uid="{88D6AE16-DA0A-4D26-BC33-F87553621C5B}"/>
    <hyperlink ref="F25" r:id="rId13" xr:uid="{B6152D02-C6BD-469A-92B5-6B75153C2F57}"/>
    <hyperlink ref="F26" r:id="rId14" xr:uid="{4AC2CC8F-0A6C-4E6C-8B01-DEDFB9C69C2F}"/>
    <hyperlink ref="F28" r:id="rId15" xr:uid="{386BF153-D8F0-4209-AF87-DDABC03BDE52}"/>
    <hyperlink ref="F29" r:id="rId16" xr:uid="{E23716A9-C467-4BF0-BB4A-E6C42BF6ADDF}"/>
    <hyperlink ref="F31" r:id="rId17" xr:uid="{35658A8E-8AA7-4E34-B197-21BE5CF32068}"/>
    <hyperlink ref="F30" r:id="rId18" xr:uid="{D1B97A22-E90F-47C0-801E-CABB0FDD4BC9}"/>
    <hyperlink ref="F32" r:id="rId19" xr:uid="{DE30E179-32DD-462C-A288-C86F427E39C5}"/>
    <hyperlink ref="F34" r:id="rId20" xr:uid="{37BCCD96-D9B8-4DEC-B06E-391B3FC511B1}"/>
    <hyperlink ref="F35" r:id="rId21" xr:uid="{FFCAC1CD-FC4A-4710-9C2A-B32A3C51EEA8}"/>
    <hyperlink ref="F36" r:id="rId22" xr:uid="{07009105-6C7B-416D-8A60-30EA8CED4525}"/>
    <hyperlink ref="F6" r:id="rId23" xr:uid="{D4CB9544-2247-45C7-85D1-48156A1771A8}"/>
    <hyperlink ref="F7" r:id="rId24" xr:uid="{E9AF2BB5-15BC-40F3-9FFC-FD0131806754}"/>
    <hyperlink ref="D4" r:id="rId25" xr:uid="{682ECEDA-1EB3-4770-A33B-642B302F9C3F}"/>
    <hyperlink ref="D5" r:id="rId26" xr:uid="{D908DCB4-A2C8-4AED-BCC1-77781787DC7E}"/>
    <hyperlink ref="D15" r:id="rId27" xr:uid="{3E2AE3D7-4553-4E5E-A12B-C613CE34F591}"/>
    <hyperlink ref="D16" r:id="rId28" xr:uid="{131BB382-C548-44C8-8580-3130CBB616B7}"/>
    <hyperlink ref="D17" r:id="rId29" xr:uid="{96EFDC1A-014D-4920-99B6-49C2005E0C00}"/>
    <hyperlink ref="D18" r:id="rId30" xr:uid="{72A99B5A-1A99-4DA2-A080-823E346543F5}"/>
    <hyperlink ref="D23" r:id="rId31" xr:uid="{22A94F99-D2A3-4018-8AC9-04C5EDE52FEA}"/>
    <hyperlink ref="D24" r:id="rId32" xr:uid="{9D47AAF7-58EB-4E5A-AB21-15CE69A0D59D}"/>
    <hyperlink ref="D25" r:id="rId33" xr:uid="{06F768DC-C08D-4603-8F80-81DFF8E0D5B6}"/>
    <hyperlink ref="D26" r:id="rId34" xr:uid="{11D2AB3A-A265-4433-B086-D21666BF3EB2}"/>
    <hyperlink ref="D27" r:id="rId35" xr:uid="{463CBC56-882C-47D0-AC5D-67110FC56D62}"/>
    <hyperlink ref="D28" r:id="rId36" xr:uid="{D3300231-D032-4EAA-833B-E01E42CBA548}"/>
    <hyperlink ref="D29" r:id="rId37" xr:uid="{24CACF0E-BD9A-443C-956F-E5BCA7E9A37E}"/>
    <hyperlink ref="D30" r:id="rId38" xr:uid="{653F0B82-BB74-4D48-B8F8-BD66C04A2D9A}"/>
    <hyperlink ref="D31" r:id="rId39" xr:uid="{451E996F-6F6F-4D9D-995A-BF02453E0B8D}"/>
    <hyperlink ref="D32" r:id="rId40" xr:uid="{7620FE1C-8F0F-4AE1-A7E8-5DBFDF4F708C}"/>
    <hyperlink ref="D34" r:id="rId41" xr:uid="{D2524E47-ADE7-4763-AA13-0AD2F99C3E24}"/>
    <hyperlink ref="D35" r:id="rId42" xr:uid="{CAF10FB2-4448-4F49-ADD7-EDB42F27C14C}"/>
    <hyperlink ref="D36" r:id="rId43" xr:uid="{871B9077-F10A-4082-A48E-41E0B4F73C44}"/>
    <hyperlink ref="F33" r:id="rId44" xr:uid="{B40F0E6D-946D-4D59-8E64-846371634239}"/>
    <hyperlink ref="F22" r:id="rId45" xr:uid="{4D63FA2D-99E5-474B-B331-F144F3493F89}"/>
    <hyperlink ref="F10" r:id="rId46" xr:uid="{E7614F4D-B339-454F-B8C0-3063F1CEB09F}"/>
    <hyperlink ref="D7" r:id="rId47" xr:uid="{F83C1749-2C04-4062-82B6-36D86D1B6EFD}"/>
    <hyperlink ref="D6" r:id="rId48" xr:uid="{EE4F1AED-BCD0-4DF5-8C78-C1F8C57F87EC}"/>
    <hyperlink ref="D19" r:id="rId49" xr:uid="{590EE40A-CC99-4854-B9CC-AB4369D7467B}"/>
    <hyperlink ref="D10" r:id="rId50" xr:uid="{50D46DE9-E800-4BCE-AA0D-904CC26CF24F}"/>
    <hyperlink ref="D12" r:id="rId51" xr:uid="{E1DB4630-9DB5-456C-B7F3-F945F26BF50B}"/>
    <hyperlink ref="D13" r:id="rId52" xr:uid="{05AB99FB-A6F1-4083-A473-6238DEEE0323}"/>
    <hyperlink ref="D33" r:id="rId53" xr:uid="{EC5C7C03-8424-43C0-90FA-99C781024A82}"/>
    <hyperlink ref="F27" r:id="rId54" xr:uid="{A8FE60C8-3712-44BF-A55B-1B29662ADC88}"/>
    <hyperlink ref="F13" r:id="rId55" xr:uid="{89803B38-FF14-4DEE-9AED-7A96BE84FAAD}"/>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F9F585-6FE3-4D6A-B927-0E008C42BB2D}"/>
</file>

<file path=customXml/itemProps2.xml><?xml version="1.0" encoding="utf-8"?>
<ds:datastoreItem xmlns:ds="http://schemas.openxmlformats.org/officeDocument/2006/customXml" ds:itemID="{771AC6D7-EA81-41EB-8BE8-942770643D76}"/>
</file>

<file path=customXml/itemProps3.xml><?xml version="1.0" encoding="utf-8"?>
<ds:datastoreItem xmlns:ds="http://schemas.openxmlformats.org/officeDocument/2006/customXml" ds:itemID="{C5E64421-104D-40CE-B411-4C9F27E9AC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Wannapa Thongkham</dc:creator>
  <cp:keywords/>
  <dc:description/>
  <cp:lastModifiedBy>Janjira Jankong</cp:lastModifiedBy>
  <cp:revision/>
  <dcterms:created xsi:type="dcterms:W3CDTF">2025-09-10T04:38:17Z</dcterms:created>
  <dcterms:modified xsi:type="dcterms:W3CDTF">2026-06-19T07:38:21Z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Order">
    <vt:r8>6553200</vt:r8>
  </property>
  <property fmtid="{D5CDD505-2E9C-101B-9397-08002B2CF9AE}" pid="8" name="xd_Signature">
    <vt:bool>false</vt:bool>
  </property>
  <property fmtid="{D5CDD505-2E9C-101B-9397-08002B2CF9AE}" pid="9" name="xd_ProgID">
    <vt:lpwstr/>
  </property>
  <property fmtid="{D5CDD505-2E9C-101B-9397-08002B2CF9AE}" pid="10" name="Status">
    <vt:lpwstr>In progress</vt:lpwstr>
  </property>
  <property fmtid="{D5CDD505-2E9C-101B-9397-08002B2CF9AE}" pid="11" name="_SourceUrl">
    <vt:lpwstr/>
  </property>
  <property fmtid="{D5CDD505-2E9C-101B-9397-08002B2CF9AE}" pid="12" name="_SharedFileIndex">
    <vt:lpwstr/>
  </property>
  <property fmtid="{D5CDD505-2E9C-101B-9397-08002B2CF9AE}" pid="13" name="TemplateUrl">
    <vt:lpwstr/>
  </property>
</Properties>
</file>