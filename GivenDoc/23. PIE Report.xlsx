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265" documentId="11_BEE8E116D7AA0A9BEBF1F05873E34BA8E722E8A3" xr6:coauthVersionLast="47" xr6:coauthVersionMax="47" xr10:uidLastSave="{2D647D4E-8CD7-4C7D-8891-197380E53411}"/>
  <bookViews>
    <workbookView xWindow="0" yWindow="0" windowWidth="0" windowHeight="0" firstSheet="1" activeTab="1" xr2:uid="{00000000-000D-0000-FFFF-FFFF00000000}"/>
  </bookViews>
  <sheets>
    <sheet name="Scope Backlog 1.1" sheetId="2" r:id="rId1"/>
    <sheet name="PIE Repor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VTUkNnjQUfK0/omWwmdYAzFF6gl73M3AQ+8zXvAlug="/>
    </ext>
  </extLst>
</workbook>
</file>

<file path=xl/calcChain.xml><?xml version="1.0" encoding="utf-8"?>
<calcChain xmlns="http://schemas.openxmlformats.org/spreadsheetml/2006/main">
  <c r="AK12" i="1" l="1"/>
  <c r="AK7" i="1"/>
  <c r="AR17" i="1"/>
  <c r="AS17" i="1"/>
  <c r="AS21" i="1"/>
  <c r="AS20" i="1"/>
  <c r="AS19" i="1"/>
  <c r="AS18" i="1"/>
  <c r="AR21" i="1"/>
  <c r="AR20" i="1"/>
  <c r="AR19" i="1"/>
  <c r="AR18" i="1"/>
  <c r="AK11" i="1"/>
  <c r="AK9" i="1"/>
  <c r="AK8" i="1"/>
  <c r="AK6" i="1"/>
  <c r="AK5" i="1"/>
  <c r="AK4" i="1"/>
  <c r="AR24" i="1" l="1"/>
  <c r="AS24" i="1"/>
</calcChain>
</file>

<file path=xl/sharedStrings.xml><?xml version="1.0" encoding="utf-8"?>
<sst xmlns="http://schemas.openxmlformats.org/spreadsheetml/2006/main" count="288" uniqueCount="107">
  <si>
    <t>Funtion</t>
  </si>
  <si>
    <t>Refer Backlog No.</t>
  </si>
  <si>
    <t>Test results</t>
  </si>
  <si>
    <t>Test Case No.</t>
  </si>
  <si>
    <t>Test Scenario</t>
  </si>
  <si>
    <t>Test Case Type</t>
  </si>
  <si>
    <t>Flow</t>
  </si>
  <si>
    <t>Campaign
(D=Dummy)</t>
  </si>
  <si>
    <t>Select service type</t>
  </si>
  <si>
    <t xml:space="preserve">Media
อาจจะมีปรับหลังได้ข้อมูล จาก Gis		
			</t>
  </si>
  <si>
    <t>(A) Register on app ONE</t>
  </si>
  <si>
    <t>(B) Output in service transaction report on PIE</t>
  </si>
  <si>
    <t>Check logic of Field
Expected Result &gt;  File : PIE report TOL.xlxs</t>
  </si>
  <si>
    <t>Description
 (Design Step)</t>
  </si>
  <si>
    <t>Expected Result</t>
  </si>
  <si>
    <t>Test Case written by</t>
  </si>
  <si>
    <t>Excute by</t>
  </si>
  <si>
    <t>Status iOS</t>
  </si>
  <si>
    <t xml:space="preserve">Status android </t>
  </si>
  <si>
    <t>Actual Result
 (Design Step)</t>
  </si>
  <si>
    <t>Refer epic Link</t>
  </si>
  <si>
    <t>iOS</t>
  </si>
  <si>
    <t>Android</t>
  </si>
  <si>
    <t>Online Channel</t>
  </si>
  <si>
    <t>Offline Channel
(Regression)</t>
  </si>
  <si>
    <t>TOL</t>
  </si>
  <si>
    <t>Mobile</t>
  </si>
  <si>
    <t>TrueID TV</t>
  </si>
  <si>
    <t>FLP</t>
  </si>
  <si>
    <t>Register Type</t>
  </si>
  <si>
    <t>Product Register</t>
  </si>
  <si>
    <t>Record in PIE</t>
  </si>
  <si>
    <t>Total record</t>
  </si>
  <si>
    <t>Link</t>
  </si>
  <si>
    <t>Build Version</t>
  </si>
  <si>
    <t>New</t>
  </si>
  <si>
    <t>Exsiting</t>
  </si>
  <si>
    <t>FTTH</t>
  </si>
  <si>
    <t>FTTC</t>
  </si>
  <si>
    <t>FTTB</t>
  </si>
  <si>
    <t>FTTC-Docsis</t>
  </si>
  <si>
    <t>Stand Alone</t>
  </si>
  <si>
    <t>2POTT</t>
  </si>
  <si>
    <t>3POTT</t>
  </si>
  <si>
    <t>4POTT</t>
  </si>
  <si>
    <t>TMH</t>
  </si>
  <si>
    <t>TVS</t>
  </si>
  <si>
    <t>PIE Report</t>
  </si>
  <si>
    <t>3.Register TOL/CVG via online channel</t>
  </si>
  <si>
    <t>PIE_REP_01</t>
  </si>
  <si>
    <t>Verify between (A) Register on app ONE and (B) Output in service transaction report on PIE in this case:
- Register Type: TOL Stand Alone
- Product: TOL</t>
  </si>
  <si>
    <t>Positive</t>
  </si>
  <si>
    <t>X</t>
  </si>
  <si>
    <t>TOL STD</t>
  </si>
  <si>
    <r>
      <rPr>
        <sz val="10"/>
        <color rgb="FF000000"/>
        <rFont val="Arial"/>
      </rPr>
      <t xml:space="preserve">Refer. Data Case : </t>
    </r>
    <r>
      <rPr>
        <b/>
        <sz val="10"/>
        <color rgb="FF093D93"/>
        <rFont val="Arial"/>
      </rPr>
      <t xml:space="preserve">ONL_E2E_01
</t>
    </r>
    <r>
      <rPr>
        <sz val="10"/>
        <color rgb="FF000000"/>
        <rFont val="Arial"/>
      </rPr>
      <t>1. Open PIE report
2. Select folder 'Service Transaction'
3. Click hyperlink 'Service Transaction' report
4. Check Service Transaction (TOL STD)</t>
    </r>
  </si>
  <si>
    <r>
      <rPr>
        <sz val="10"/>
        <color rgb="FF000000"/>
        <rFont val="Arial"/>
      </rPr>
      <t xml:space="preserve">Display 1 record.
 - TOL
Check logic of Field, Dispay Transaction value is correct.
 - Expected Result &gt;  File : PIE report TOL.xlxs
</t>
    </r>
    <r>
      <rPr>
        <b/>
        <sz val="10"/>
        <color rgb="FF000000"/>
        <rFont val="Arial"/>
      </rPr>
      <t xml:space="preserve">Focus information : 
</t>
    </r>
    <r>
      <rPr>
        <sz val="10"/>
        <color rgb="FF000000"/>
        <rFont val="Arial"/>
      </rPr>
      <t>Field : ประเภทบริการ
  - ลงทะเบียนทรูออนไลน์
Field : Register type
  - กรณีมี TOL บริการเดียว ระบุค่า Register type = "Stand Alone
Field : ประเภทการเปิดบริการ
  - ระบุค่า "เปิดบริการ True Online ใหม่"
Field : Campaign type
  - กรณีติดสัญญา = "With contract"
  - กรณีไม่ติดสัญญา ="Without contract"
Field: Convergence number
  - กรณีสมัคร TOL บริการเดียว ไม่ต้องระบุค่า
Field : Fixlined plus number
  - กรณีที่ไม่สมัคร Fixlined plus ไม่ต้องระบุ</t>
    </r>
  </si>
  <si>
    <t>Janjira Jankong</t>
  </si>
  <si>
    <t>Not Start</t>
  </si>
  <si>
    <t>iOS order id : 2606091057A1TOST4F13	
Android order id : 2606091632A1TOST531A
iOS x-request-id : 4001989AD2DD4897990E277A323DF2D2
Android x-request-id : D1F42507A4EC47A0BCF7EB27180A5581
Channel Name : DLR
Partner Type Name : Retail Dealer Outlet
Partner Type Level : Outlet
Role :Owner</t>
  </si>
  <si>
    <t xml:space="preserve">Online channel THL-1089
</t>
  </si>
  <si>
    <t>PIE_REP_02</t>
  </si>
  <si>
    <t>Verify between (A) Register on app ONE and (B) Output in service transaction report on PIE in this case:
- Register Type: TOL+FLP1+FLP2
- Product: TOL+FLP1+FLP2</t>
  </si>
  <si>
    <t>TOL+FLP2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</si>
  <si>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VB_E2E_03
</t>
    </r>
    <r>
      <rPr>
        <sz val="10"/>
        <color rgb="FF000000"/>
        <rFont val="Arial"/>
      </rPr>
      <t>1. Open PIE report
2. Select folder 'Service Transaction'
3. Click hyperlink 'Service Transaction' report
4. Check Service Transaction (TOL + FLP1 + FLP2)</t>
    </r>
  </si>
  <si>
    <r>
      <rPr>
        <sz val="10"/>
        <color theme="1"/>
        <rFont val="Arial"/>
      </rPr>
      <t xml:space="preserve">Display 1 record.
 - TOL
Check logic of Field, Dispay Transaction value is correct.
 - Expected Result &gt;  File : PIE report TOL.xlxs
</t>
    </r>
    <r>
      <rPr>
        <b/>
        <sz val="10"/>
        <color theme="1"/>
        <rFont val="Arial"/>
      </rPr>
      <t>Focus information :</t>
    </r>
    <r>
      <rPr>
        <sz val="10"/>
        <color theme="1"/>
        <rFont val="Arial"/>
      </rPr>
      <t xml:space="preserve"> 
Field : ประเภทบริการ
  - ลงทะเบียนทรูออนไลน์
Field : Register type
  - กรณีมี TOL บริการเดียว ระบุค่า Register type = "Stand Alone
Field : ประเภทการเปิดบริการ
  - ระบุค่า "เปิดบริการ True Online ใหม่"
Field : Campaign type
  - กรณีติดสัญญา = "With contract"
  - กรณีไม่ติดสัญญา ="Without contract"
Field: Convergence number
  - กรณีสมัคร TOL บริการเดียว ไม่ต้องระบุค่า
Field : Fixlined plus number
  - ระบุเบอร์ Fixlined plus ที่มา join TOL ให้ระบุเบอร์ตามจริง</t>
    </r>
  </si>
  <si>
    <t>iOS order id : 2606181040A1TOST5E43
Android order id : 2606181259A1TOSTC602
iOS x-request-id : 08FFAC08F1B843FB90B92CD80801B5E8
Android x-request-id : BB323167466746D0AB3F01B437BCB780
Channel Name : DRS
Partner Type Name : Senior CMSales
Partner Type Level : L2
Role : Owner</t>
  </si>
  <si>
    <t>PIE_REP_03</t>
  </si>
  <si>
    <t>Verify between (A) Register on app ONE and (B) Output in service transaction report on PIE in this case:
- Register Type: 2POTT
- Product: TOL+TMH+FLP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</si>
  <si>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VB_E2E_04
</t>
    </r>
    <r>
      <rPr>
        <sz val="10"/>
        <color rgb="FF000000"/>
        <rFont val="Arial"/>
      </rPr>
      <t>1. Open PIE report
2. Select folder 'Service Transaction'
3. Click hyperlink 'Service Transaction' report
4. Check Service Transaction  (TOL+TMH+FLP &gt; 2POTT)</t>
    </r>
  </si>
  <si>
    <t>Display 2 records.
 - TOL
 - TMH
Check logic of Field, Dispay Transaction value is correct.
 - Expected Result &gt;  File : PIE report TOL.xlxs
Focus information : 
Field : ประเภทบริการ
  - TOL : ลงทะเบียนทรูออนไลน์
  - TMH : Convergence (True Move H)
Field : หมายเลขซิม
  - กรณีที่เป็น New TOL + New/Existing TMH : ไม่ต้องระบุหมายเลข sim
Field : Register type
  - TOL : กรณีมีบริการ TOL + TMH ระบุค่า Register type = "Convergence (2P)"
  - TMH : ระบุค่า Register type = "Sim Only (Convergence)"
Field : ประเภทการเปิดบริการ
  - TOL : ระบุค่า "เปิดบริการ True Online ใหม่"
  - TMH : ระบุค่า "เปิดเบอร์ใหม่"
  - TVS : ระบุค่า "เปิดบริการ True ID ใหม่"
Field : Campaign type
  - กรณีติดสัญญา = "With contract"
  - กรณีไม่ติดสัญญา ="Without contract"
Field : SIM product
  - ระบุ : TRUE
Field: Convergence number
  - กรณีสมัครบริการ Convergence ระบุ Convergence number
Field : Fixlined plus number
  - ระบุเบอร์ Fixlined plus ที่มา join CVG ให้ระบุเบอร์ตามจริง</t>
  </si>
  <si>
    <t>iOS order id : 2606121620A1TO2PAD6F
Android order id : 2606151052A1TO2PBA6E
iOS x-request-id : 647CD72030A246FE9D071A25A54B8BE2
Android x-request-id : 19F6B0361F964320B940285FA0E8A163
Channel Name : DRS
Partner Type Name : Senior CMSales
Partner Type Level : L2
Role : Owner</t>
  </si>
  <si>
    <t>PIE_REP_04</t>
  </si>
  <si>
    <t xml:space="preserve">Verify between (A) Register on app ONE and (B) Output in service transaction report on PIE in this case:
- Register Type: 3POTT
- Product: TOL+TVS+FLP </t>
  </si>
  <si>
    <t>3POTT(D)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</si>
  <si>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VB_E2E_06
</t>
    </r>
    <r>
      <rPr>
        <sz val="10"/>
        <color rgb="FF000000"/>
        <rFont val="Arial"/>
      </rPr>
      <t xml:space="preserve">1. Open PIE report
2. Select folder 'Service Transaction'
3. Click hyperlink 'Service Transaction' report
4. Check Service Transaction  (TOL+TVS+FLP &gt; 3POTT) </t>
    </r>
  </si>
  <si>
    <t>Display 2 records.
 - TOL
 - TVS
Check logic of Field, Dispay Transaction value is correct.
 - Expected Result &gt;  File : PIE report TOL.xlxs
Focus information : 
Field : ประเภทบริการ
  - TOL : ลงทะเบียนทรูออนไลน์
  - TVS : Convergence (True Vision)
Field : Register type
  - TOL : กรณีมีบริการ TOL + TVS ระบุค่า Register type = "Convergence (3POTT/3P)"
  - TVS : ระบุค่า Register type = "True Visions(Convergence)"
Field : ประเภทการเปิดบริการ
  - TOL : ระบุค่า "เปิดบริการ True Online ใหม่"
  - TVS : ระบุค่า "เปิดบริการ True ID ใหม่"
Field : Campaign type
  - กรณีติดสัญญา = "With contract"
  - กรณีไม่ติดสัญญา ="Without contract"
Field: Convergence number
  - กรณีสมัครบริการ Convergence ระบุ Convergence number
Field : Fixlined plus number
  - ระบุเบอร์ Fixlined plus ที่มา join CVG ให้ระบุเบอร์ตามจริง</t>
  </si>
  <si>
    <t>iOS order id : 2606111223A1TO3P6B57
Android order id : 2606111338A1TO3PBCCA
iOS x-request-id : 9F83EB42B67E401C85D1A85A30FC923A
Android x-request-id : 82DB3B3221E645229C0DFE04329FBB49
Channel Name : DRS
Partner Type Name : Senior CMSales
Partner Type Level : L2
Role : Staff</t>
  </si>
  <si>
    <t>PIE_REP_05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</si>
  <si>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>VB_E2E_08</t>
    </r>
    <r>
      <rPr>
        <b/>
        <sz val="10"/>
        <color rgb="FF093D93"/>
        <rFont val="Arial"/>
      </rPr>
      <t xml:space="preserve"> 
</t>
    </r>
    <r>
      <rPr>
        <sz val="10"/>
        <color rgb="FF000000"/>
        <rFont val="Arial"/>
      </rPr>
      <t xml:space="preserve">1. Open PIE report
2. Select folder 'Service Transaction'
3. Click hyperlink 'Service Transaction' report
4. Check Service Transaction  (TOL+TVS+FLP &gt; 3POTT) </t>
    </r>
  </si>
  <si>
    <t>iOS order id : 2606101456A1TO3P040F
Android order id : 2606101205A1TO3PC9B3
iOS x-request-id : 6E6E71A0FE8646169E9C956E9A6E56C1
Android x-request-id : F938680F1DBA444D81953F68E5E37150
Channel Name : DRS
Partner Type Name : Senior CMSales
Partner Type Level : L2
Role : Owner</t>
  </si>
  <si>
    <t>PIE_REP_06</t>
  </si>
  <si>
    <t>Verify between (A) Register on app ONE and (B) Output in service transaction report on PIE in this case:
- Register Type: 4POTT
- Product: TOL+TMH+TVS</t>
  </si>
  <si>
    <t>4POTT(D)</t>
  </si>
  <si>
    <r>
      <rPr>
        <sz val="10"/>
        <color rgb="FF000000"/>
        <rFont val="Arial"/>
      </rPr>
      <t xml:space="preserve">Refer. Data Case : </t>
    </r>
    <r>
      <rPr>
        <b/>
        <sz val="10"/>
        <color rgb="FF0070C0"/>
        <rFont val="Arial"/>
      </rPr>
      <t xml:space="preserve">VB_E2E_02
</t>
    </r>
    <r>
      <rPr>
        <sz val="10"/>
        <color rgb="FF000000"/>
        <rFont val="Arial"/>
      </rPr>
      <t>1. Open PIE report
2. Select folder 'Service Transaction'
3. Click hyperlink 'Service Transaction' report
4. Check Service Transaction  (TOL+TMH+TVS &gt; 4POTT FLP Dummy)</t>
    </r>
  </si>
  <si>
    <t>Display 3 records.
 - TOL
 - TMH
 - TVS
Check logic of Field, Dispay Transaction value is correct.
 - Expected Result &gt;  File : PIE report TOL.xlxs
Focus information : 
Field : ประเภทบริการ
  - TOL : ลงทะเบียนทรูออนไลน์
  - TMH : Convergence (True Move H)
  - TVS : Convergence (True Vision)
Field : หมายเลขซิม
  - กรณีที่เป็น New TOL + New/Existing TMH : ไม่ต้องระบุหมายเลข sim
Field : Register type
  - TOL : กรณีมีบริการ TOL + TVS + TMH ระบุค่า Register type = "Convergence (4POTT/4P)"
  - TMH : ระบุค่า Register type = "Sim Only (Convergence)"
  - TVS : ระบุค่า Register type = "True Visions(Convergence)"
Field : ประเภทการเปิดบริการ
  - TOL : ระบุค่า "เปิดบริการ True Online ใหม่"
  - TMH : ระบุค่า "ใช้เบอร์เดิม"
  - TVS : ระบุค่า "เปิดบริการ True ID ใหม่"
Field : Campaign type
  - กรณีติดสัญญา = "With contract"
  - กรณีไม่ติดสัญญา ="Without contract"
Field : SIM product
  - ระบุ : TRUE
Field: Convergence number
  - กรณีสมัครบริการ Convergence ระบุ Convergence number
Field : Fixlined plus number
  - กรณีที่ไม่สมัคร Fixlined plus ไม่ต้องระบุ</t>
  </si>
  <si>
    <t xml:space="preserve">iOS order id : 2606161602A1TO4PCB86
Android order id : 2606161752A1TO4P8062
iOS x-request-id : D5DDEBBC11394BB88755A99B50F66E50
Android x-request-id : FE77B9F73F884B01A71B7BCA4B615F4F
Channel Name : DRS
Partner Type Name : Senior CMSales
Partner Type Level : L2
Role : Owner
</t>
  </si>
  <si>
    <t>PIE_REP_07</t>
  </si>
  <si>
    <t>Verify between (A) Register on app ONE and (B) Output in service transaction report on PIE in this case:
- Register Type: 4POTT
- Product: TOL+TMH+TVS+FLP</t>
  </si>
  <si>
    <r>
      <rPr>
        <sz val="10"/>
        <color rgb="FF000000"/>
        <rFont val="Arial"/>
      </rPr>
      <t xml:space="preserve">Refer. Data Case : </t>
    </r>
    <r>
      <rPr>
        <b/>
        <sz val="10"/>
        <color rgb="FF093D93"/>
        <rFont val="Arial"/>
      </rPr>
      <t xml:space="preserve">DCOnT_E2E_08
</t>
    </r>
    <r>
      <rPr>
        <sz val="10"/>
        <color rgb="FF000000"/>
        <rFont val="Arial"/>
      </rPr>
      <t>1. Open PIE report
2. Select folder 'Service Transaction'
3. Click hyperlink 'Service Transaction' report
4. Check Service Transaction  (TOL+TMH+TVS+FLP &gt; 4POTT FLP Real)</t>
    </r>
  </si>
  <si>
    <t>Display 3 records.
 - TOL
 - TMH
 - TVS
Check logic of Field, Dispay Transaction value is correct.
 - Expected Result &gt;  File : PIE report TOL.xlxs
Focus information : 
Field : ประเภทบริการ
  - TOL : ลงทะเบียนทรูออนไลน์
  - TMH : Convergence (True Move H)
  - TVS : Convergence (True Vision)
Field : หมายเลขซิม
  - กรณีที่เป็น New TOL + New/Existing TMH : ไม่ต้องระบุหมายเลข sim
Field : Register type
  - TOL : กรณีมีบริการ TOL + TVS + TMH ระบุค่า Register type = "Convergence (4POTT/4P)"
  - TMH : ระบุค่า Register type = "Sim Only (Convergence)"
  - TVS : ระบุค่า Register type = "True Visions(Convergence)"
Field : ประเภทการเปิดบริการ
  - TOL : ระบุค่า "เปิดบริการ True Online ใหม่"
  - TMH : ระบุค่า "ใช้เบอร์เดิม"
  - TVS : ระบุค่า "เปิดบริการ True ID ใหม่"
Field : Campaign type
  - กรณีติดสัญญา = "With contract"
  - กรณีไม่ติดสัญญา ="Without contract"
Field : SIM product
  - ระบุ : TRUE
Field: Convergence number
  - กรณีสมัครบริการ Convergence ระบุ Convergence number
Field : Fixlined plus number
  - ระบุเบอร์ Fixlined plus ที่มา join CVG ให้ระบุเบอร์ตามจริง</t>
  </si>
  <si>
    <t>Skip</t>
  </si>
  <si>
    <t>Skip Test เนื่องจาก เคสที่มีการเทส STD ติดเงือนไขของ Address ที่ไม่สามารถเลือก FLP</t>
  </si>
  <si>
    <t>PIE_REP_08</t>
  </si>
  <si>
    <t>Verify between (A) Register on app ONE and (B) Output in service transaction report on PIE in this case:
- Register Type: TOL+FLP1
- Product: TOL+FLP1</t>
  </si>
  <si>
    <t>TOL+FLP</t>
  </si>
  <si>
    <r>
      <rPr>
        <sz val="10"/>
        <color rgb="FF000000"/>
        <rFont val="Arial"/>
      </rPr>
      <t xml:space="preserve">Refer. Data Case : </t>
    </r>
    <r>
      <rPr>
        <b/>
        <sz val="10"/>
        <color rgb="FF093D93"/>
        <rFont val="Arial"/>
      </rPr>
      <t xml:space="preserve">VB_E2E_01
</t>
    </r>
    <r>
      <rPr>
        <sz val="10"/>
        <color rgb="FF000000"/>
        <rFont val="Arial"/>
      </rPr>
      <t>1. Open PIE report
2. Select folder 'Service Transaction'
3. Click hyperlink 'Service Transaction' report
4. Check Service Transaction (TOL + FLP1)</t>
    </r>
  </si>
  <si>
    <t>iOS order id : 2606091708A1TOST4041
Android order id : 2606101147A1TOST1621
iOS x-request-id : F85642993DE046B8B2C6BE0A77CCB29A
Android x-request-id : 5DBFD550685F4F35BA33E072B5305992
Channel Name : iStu
Partner Type Name : Banana IT-Outlet
Partner Type Level : Normal
Role : Staff</t>
  </si>
  <si>
    <t>PIE_REP_09</t>
  </si>
  <si>
    <t>TOL+FLP1+FLP2</t>
  </si>
  <si>
    <r>
      <rPr>
        <sz val="10"/>
        <color rgb="FF000000"/>
        <rFont val="Arial"/>
      </rPr>
      <t xml:space="preserve">Refer. Data Case : </t>
    </r>
    <r>
      <rPr>
        <b/>
        <sz val="10"/>
        <color rgb="FF093D93"/>
        <rFont val="Arial"/>
      </rPr>
      <t xml:space="preserve">DCOnT_E2E_15
</t>
    </r>
    <r>
      <rPr>
        <sz val="10"/>
        <color rgb="FF000000"/>
        <rFont val="Arial"/>
      </rPr>
      <t>1. Open PIE report
2. Select folder 'Service Transaction'
3. Click hyperlink 'Service Transaction' report
4. Check Service Transaction (TOL + FLP1+FLP2)</t>
    </r>
  </si>
  <si>
    <t>iOS order id : 2606191308A1TOST51D2
Android order id : 2606191101A1TOST9A2D
iOS x-request-id : F6A4B497F0D74345A859A9F6EECA0BBF
Android x-request-id : 3FA17619D21D45BC8E592498A60EF50D
Channel Name : DLR
Partner Type Name : Retail Dealer Outlet
Partner Type Level : Outlet
Role : Staff</t>
  </si>
  <si>
    <t>ไม่เห็น order บน PIE</t>
  </si>
  <si>
    <t>Summary</t>
  </si>
  <si>
    <t>Inprogress</t>
  </si>
  <si>
    <t>Fail</t>
  </si>
  <si>
    <t>Pass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</si>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</sst>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1"/>
      <color theme="1"/>
      <name val="Arial"/>
    </font>
    <font>
      <sz val="10"/>
      <color rgb="FF000000"/>
      <name val="Tahoma"/>
    </font>
    <font>
      <sz val="10"/>
      <color theme="1"/>
      <name val="Arial"/>
    </font>
    <font>
      <b/>
      <sz val="11"/>
      <color rgb="FF000000"/>
      <name val="Tahoma"/>
    </font>
    <font>
      <b/>
      <sz val="10"/>
      <color rgb="FF000000"/>
      <name val="Tahoma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Tahoma"/>
    </font>
    <font>
      <b/>
      <sz val="10"/>
      <color rgb="FF093D93"/>
      <name val="Arial"/>
    </font>
    <font>
      <sz val="11"/>
      <color rgb="FF000000"/>
      <name val="Arial"/>
    </font>
    <font>
      <b/>
      <sz val="11"/>
      <color theme="1"/>
      <name val="Arial"/>
    </font>
    <font>
      <b/>
      <sz val="10"/>
      <name val="Arial"/>
    </font>
    <font>
      <b/>
      <sz val="10"/>
      <color rgb="FF000000"/>
      <name val="Arial"/>
      <scheme val="minor"/>
    </font>
    <font>
      <b/>
      <sz val="10"/>
      <color rgb="FF0070C0"/>
      <name val="Arial"/>
    </font>
  </fonts>
  <fills count="20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8E4BC"/>
        <bgColor rgb="FFD8E4BC"/>
      </patternFill>
    </fill>
    <fill>
      <patternFill patternType="solid">
        <fgColor rgb="FFE26B0A"/>
        <bgColor rgb="FFE26B0A"/>
      </patternFill>
    </fill>
    <fill>
      <patternFill patternType="solid">
        <fgColor rgb="FFFCD5B4"/>
        <bgColor rgb="FFFCD5B4"/>
      </patternFill>
    </fill>
    <fill>
      <patternFill patternType="solid">
        <fgColor rgb="FFEBF1DE"/>
        <bgColor rgb="FFEBF1DE"/>
      </patternFill>
    </fill>
    <fill>
      <patternFill patternType="solid">
        <fgColor rgb="FFCCCCCC"/>
        <bgColor rgb="FFCCCCCC"/>
      </patternFill>
    </fill>
    <fill>
      <patternFill patternType="solid">
        <fgColor rgb="FFFDE9D9"/>
        <bgColor rgb="FFFDE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9966"/>
        <bgColor rgb="FF33996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21" xfId="0" applyFont="1" applyBorder="1" applyAlignment="1">
      <alignment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11" borderId="21" xfId="0" applyFont="1" applyFill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12" borderId="30" xfId="0" applyFont="1" applyFill="1" applyBorder="1" applyAlignment="1">
      <alignment vertical="top" wrapText="1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12" xfId="0" applyFont="1" applyBorder="1" applyAlignment="1">
      <alignment horizontal="center" vertical="top" wrapText="1"/>
    </xf>
    <xf numFmtId="0" fontId="3" fillId="11" borderId="34" xfId="0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36" xfId="0" applyFont="1" applyBorder="1" applyAlignment="1">
      <alignment horizontal="center" vertical="top" wrapText="1"/>
    </xf>
    <xf numFmtId="0" fontId="3" fillId="12" borderId="35" xfId="0" applyFont="1" applyFill="1" applyBorder="1" applyAlignment="1">
      <alignment vertical="top" wrapText="1"/>
    </xf>
    <xf numFmtId="0" fontId="4" fillId="13" borderId="38" xfId="0" applyFont="1" applyFill="1" applyBorder="1"/>
    <xf numFmtId="0" fontId="5" fillId="13" borderId="38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39" xfId="0" applyFont="1" applyBorder="1" applyAlignment="1">
      <alignment horizontal="right"/>
    </xf>
    <xf numFmtId="0" fontId="3" fillId="0" borderId="34" xfId="0" applyFont="1" applyBorder="1" applyAlignment="1">
      <alignment horizontal="center" vertical="top" wrapText="1"/>
    </xf>
    <xf numFmtId="0" fontId="3" fillId="0" borderId="33" xfId="0" applyFont="1" applyBorder="1" applyAlignment="1">
      <alignment horizontal="center" vertical="top" wrapText="1"/>
    </xf>
    <xf numFmtId="10" fontId="2" fillId="0" borderId="40" xfId="0" applyNumberFormat="1" applyFont="1" applyBorder="1" applyAlignment="1">
      <alignment horizontal="center"/>
    </xf>
    <xf numFmtId="0" fontId="7" fillId="0" borderId="21" xfId="0" applyFont="1" applyBorder="1" applyAlignment="1">
      <alignment vertical="top" wrapText="1"/>
    </xf>
    <xf numFmtId="0" fontId="0" fillId="0" borderId="38" xfId="0" applyBorder="1"/>
    <xf numFmtId="0" fontId="0" fillId="0" borderId="4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2" xfId="0" applyBorder="1"/>
    <xf numFmtId="0" fontId="0" fillId="0" borderId="24" xfId="0" applyBorder="1"/>
    <xf numFmtId="0" fontId="0" fillId="0" borderId="43" xfId="0" applyBorder="1"/>
    <xf numFmtId="0" fontId="0" fillId="0" borderId="34" xfId="0" applyBorder="1"/>
    <xf numFmtId="0" fontId="0" fillId="0" borderId="34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3" fillId="0" borderId="41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3" fillId="11" borderId="44" xfId="0" applyFont="1" applyFill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 wrapText="1"/>
    </xf>
    <xf numFmtId="0" fontId="3" fillId="17" borderId="41" xfId="0" applyFont="1" applyFill="1" applyBorder="1" applyAlignment="1">
      <alignment horizontal="center" vertical="top" wrapText="1"/>
    </xf>
    <xf numFmtId="0" fontId="3" fillId="17" borderId="44" xfId="0" applyFont="1" applyFill="1" applyBorder="1" applyAlignment="1">
      <alignment horizontal="center" vertical="top" wrapText="1"/>
    </xf>
    <xf numFmtId="0" fontId="3" fillId="17" borderId="43" xfId="0" applyFont="1" applyFill="1" applyBorder="1" applyAlignment="1">
      <alignment horizontal="center" vertical="top" wrapText="1"/>
    </xf>
    <xf numFmtId="0" fontId="3" fillId="17" borderId="22" xfId="0" applyFont="1" applyFill="1" applyBorder="1" applyAlignment="1">
      <alignment horizontal="center" vertical="top" wrapText="1"/>
    </xf>
    <xf numFmtId="0" fontId="3" fillId="17" borderId="21" xfId="0" applyFont="1" applyFill="1" applyBorder="1" applyAlignment="1">
      <alignment horizontal="center" vertical="top" wrapText="1"/>
    </xf>
    <xf numFmtId="0" fontId="3" fillId="17" borderId="34" xfId="0" applyFont="1" applyFill="1" applyBorder="1" applyAlignment="1">
      <alignment horizontal="center" vertical="top" wrapText="1"/>
    </xf>
    <xf numFmtId="0" fontId="7" fillId="12" borderId="30" xfId="0" applyFont="1" applyFill="1" applyBorder="1" applyAlignment="1">
      <alignment vertical="top" wrapText="1"/>
    </xf>
    <xf numFmtId="0" fontId="2" fillId="0" borderId="40" xfId="0" applyFont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top" wrapText="1"/>
    </xf>
    <xf numFmtId="0" fontId="3" fillId="0" borderId="34" xfId="0" applyFont="1" applyBorder="1" applyAlignment="1">
      <alignment vertical="top" wrapText="1"/>
    </xf>
    <xf numFmtId="0" fontId="6" fillId="0" borderId="0" xfId="0" applyFont="1" applyAlignment="1">
      <alignment vertical="center" wrapText="1"/>
    </xf>
    <xf numFmtId="0" fontId="1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2" fillId="4" borderId="4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 wrapText="1"/>
    </xf>
    <xf numFmtId="0" fontId="9" fillId="8" borderId="47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46" xfId="0" applyFont="1" applyFill="1" applyBorder="1" applyAlignment="1">
      <alignment horizontal="center" vertical="center" wrapText="1"/>
    </xf>
    <xf numFmtId="0" fontId="9" fillId="10" borderId="47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46" xfId="0" applyFont="1" applyFill="1" applyBorder="1" applyAlignment="1">
      <alignment horizontal="center" vertical="center" wrapText="1"/>
    </xf>
    <xf numFmtId="0" fontId="5" fillId="16" borderId="27" xfId="0" applyFont="1" applyFill="1" applyBorder="1" applyAlignment="1">
      <alignment horizontal="center" vertical="center" wrapText="1"/>
    </xf>
    <xf numFmtId="0" fontId="5" fillId="16" borderId="28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top" wrapText="1"/>
    </xf>
    <xf numFmtId="0" fontId="0" fillId="0" borderId="21" xfId="0" applyBorder="1"/>
    <xf numFmtId="0" fontId="6" fillId="16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11" fillId="18" borderId="21" xfId="0" applyFont="1" applyFill="1" applyBorder="1" applyAlignment="1">
      <alignment vertical="top" wrapText="1"/>
    </xf>
    <xf numFmtId="0" fontId="1" fillId="19" borderId="21" xfId="0" applyFont="1" applyFill="1" applyBorder="1" applyAlignment="1">
      <alignment horizontal="center" vertical="top" wrapText="1"/>
    </xf>
    <xf numFmtId="0" fontId="1" fillId="18" borderId="21" xfId="0" applyFont="1" applyFill="1" applyBorder="1" applyAlignment="1">
      <alignment vertical="top" wrapText="1"/>
    </xf>
    <xf numFmtId="0" fontId="12" fillId="16" borderId="45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9" fillId="15" borderId="2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horizontal="center" vertical="center" wrapText="1"/>
    </xf>
    <xf numFmtId="0" fontId="12" fillId="16" borderId="33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3" fillId="0" borderId="21" xfId="0" applyFont="1" applyBorder="1" applyAlignment="1"/>
    <xf numFmtId="0" fontId="13" fillId="0" borderId="8" xfId="0" applyFont="1" applyBorder="1" applyAlignment="1"/>
    <xf numFmtId="0" fontId="13" fillId="0" borderId="7" xfId="0" applyFont="1" applyBorder="1" applyAlignment="1"/>
    <xf numFmtId="0" fontId="13" fillId="16" borderId="8" xfId="0" applyFont="1" applyFill="1" applyBorder="1" applyAlignment="1"/>
    <xf numFmtId="0" fontId="13" fillId="16" borderId="7" xfId="0" applyFont="1" applyFill="1" applyBorder="1" applyAlignment="1"/>
    <xf numFmtId="0" fontId="13" fillId="16" borderId="9" xfId="0" applyFont="1" applyFill="1" applyBorder="1" applyAlignment="1"/>
    <xf numFmtId="0" fontId="13" fillId="16" borderId="10" xfId="0" applyFont="1" applyFill="1" applyBorder="1" applyAlignment="1"/>
    <xf numFmtId="0" fontId="13" fillId="0" borderId="18" xfId="0" applyFont="1" applyBorder="1" applyAlignment="1"/>
    <xf numFmtId="0" fontId="13" fillId="0" borderId="13" xfId="0" applyFont="1" applyBorder="1" applyAlignment="1"/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5" xfId="0" applyFont="1" applyBorder="1" applyAlignment="1"/>
    <xf numFmtId="0" fontId="13" fillId="0" borderId="16" xfId="0" applyFont="1" applyBorder="1" applyAlignment="1"/>
    <xf numFmtId="0" fontId="13" fillId="16" borderId="18" xfId="0" applyFont="1" applyFill="1" applyBorder="1" applyAlignment="1"/>
    <xf numFmtId="0" fontId="13" fillId="16" borderId="38" xfId="0" applyFont="1" applyFill="1" applyBorder="1" applyAlignment="1"/>
    <xf numFmtId="0" fontId="13" fillId="16" borderId="19" xfId="0" applyFont="1" applyFill="1" applyBorder="1" applyAlignment="1"/>
    <xf numFmtId="0" fontId="13" fillId="16" borderId="11" xfId="0" applyFont="1" applyFill="1" applyBorder="1" applyAlignment="1"/>
    <xf numFmtId="0" fontId="13" fillId="16" borderId="21" xfId="0" applyFont="1" applyFill="1" applyBorder="1" applyAlignment="1"/>
    <xf numFmtId="0" fontId="13" fillId="16" borderId="39" xfId="0" applyFont="1" applyFill="1" applyBorder="1" applyAlignment="1"/>
    <xf numFmtId="0" fontId="13" fillId="16" borderId="33" xfId="0" applyFont="1" applyFill="1" applyBorder="1" applyAlignment="1"/>
    <xf numFmtId="0" fontId="13" fillId="16" borderId="32" xfId="0" applyFont="1" applyFill="1" applyBorder="1" applyAlignment="1"/>
    <xf numFmtId="0" fontId="13" fillId="0" borderId="1" xfId="0" applyFont="1" applyBorder="1" applyAlignment="1"/>
    <xf numFmtId="0" fontId="13" fillId="0" borderId="10" xfId="0" applyFont="1" applyBorder="1" applyAlignment="1"/>
    <xf numFmtId="0" fontId="13" fillId="16" borderId="20" xfId="0" applyFont="1" applyFill="1" applyBorder="1" applyAlignment="1"/>
    <xf numFmtId="0" fontId="13" fillId="16" borderId="4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590550</xdr:colOff>
      <xdr:row>23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8956D-FE51-42A3-A516-A3723A806DF8}"/>
            </a:ext>
            <a:ext uri="{147F2762-F138-4A5C-976F-8EAC2B608ADB}">
              <a16:predDERef xmlns:a16="http://schemas.microsoft.com/office/drawing/2014/main" pred="{26FE263A-B2AB-5DB4-E683-863D4B68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24950" cy="3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C2FB-B02F-470A-BBEE-6B2F8C976387}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9966"/>
    <outlinePr summaryBelow="0" summaryRight="0"/>
  </sheetPr>
  <dimension ref="A1:AW1002"/>
  <sheetViews>
    <sheetView tabSelected="1" workbookViewId="0">
      <pane xSplit="12" ySplit="3" topLeftCell="AT8" activePane="bottomRight" state="frozen"/>
      <selection pane="bottomRight" activeCell="G9" sqref="G9"/>
      <selection pane="bottomLeft" activeCell="A4" sqref="A4"/>
      <selection pane="topRight" activeCell="F1" sqref="F1"/>
    </sheetView>
  </sheetViews>
  <sheetFormatPr defaultColWidth="12.5703125" defaultRowHeight="15" customHeight="1"/>
  <cols>
    <col min="1" max="1" width="10.42578125" hidden="1" customWidth="1"/>
    <col min="2" max="2" width="23.5703125" customWidth="1"/>
    <col min="3" max="6" width="10.7109375" customWidth="1"/>
    <col min="7" max="7" width="17.42578125" customWidth="1"/>
    <col min="8" max="8" width="37.140625" customWidth="1"/>
    <col min="9" max="11" width="9.7109375" customWidth="1"/>
    <col min="12" max="12" width="10.28515625" customWidth="1"/>
    <col min="13" max="13" width="4.5703125" customWidth="1"/>
    <col min="14" max="14" width="4.7109375" customWidth="1"/>
    <col min="15" max="15" width="6.7109375" customWidth="1"/>
    <col min="16" max="16" width="5.85546875" customWidth="1"/>
    <col min="17" max="17" width="3.85546875" customWidth="1"/>
    <col min="18" max="20" width="5.5703125" customWidth="1"/>
    <col min="21" max="22" width="6.42578125" customWidth="1"/>
    <col min="23" max="23" width="5.7109375" customWidth="1"/>
    <col min="24" max="24" width="5.85546875" customWidth="1"/>
    <col min="25" max="25" width="6" customWidth="1"/>
    <col min="26" max="29" width="4.42578125" customWidth="1"/>
    <col min="30" max="30" width="6.42578125" customWidth="1"/>
    <col min="31" max="31" width="5.7109375" customWidth="1"/>
    <col min="32" max="33" width="6.42578125" customWidth="1"/>
    <col min="34" max="36" width="4.5703125" customWidth="1"/>
    <col min="37" max="37" width="6.42578125" customWidth="1"/>
    <col min="38" max="38" width="7" customWidth="1"/>
    <col min="39" max="39" width="5.7109375" customWidth="1"/>
    <col min="40" max="40" width="8.7109375" customWidth="1"/>
    <col min="41" max="41" width="62" customWidth="1"/>
    <col min="42" max="42" width="75.140625" customWidth="1"/>
    <col min="43" max="43" width="17.28515625" customWidth="1"/>
    <col min="45" max="46" width="14.42578125" customWidth="1"/>
    <col min="47" max="47" width="69.42578125" customWidth="1"/>
    <col min="48" max="48" width="19" customWidth="1"/>
  </cols>
  <sheetData>
    <row r="1" spans="1:49" s="54" customFormat="1" ht="17.25" customHeight="1">
      <c r="A1" s="79" t="s">
        <v>0</v>
      </c>
      <c r="B1" s="79" t="s">
        <v>1</v>
      </c>
      <c r="C1" s="87" t="s">
        <v>2</v>
      </c>
      <c r="D1" s="87"/>
      <c r="E1" s="87"/>
      <c r="F1" s="87"/>
      <c r="G1" s="79" t="s">
        <v>3</v>
      </c>
      <c r="H1" s="79" t="s">
        <v>4</v>
      </c>
      <c r="I1" s="88" t="s">
        <v>5</v>
      </c>
      <c r="J1" s="90" t="s">
        <v>6</v>
      </c>
      <c r="K1" s="90"/>
      <c r="L1" s="89" t="s">
        <v>7</v>
      </c>
      <c r="M1" s="80" t="s">
        <v>8</v>
      </c>
      <c r="N1" s="97"/>
      <c r="O1" s="97"/>
      <c r="P1" s="97"/>
      <c r="Q1" s="97"/>
      <c r="R1" s="81" t="s">
        <v>9</v>
      </c>
      <c r="S1" s="98"/>
      <c r="T1" s="98"/>
      <c r="U1" s="99"/>
      <c r="V1" s="85" t="s">
        <v>10</v>
      </c>
      <c r="W1" s="98"/>
      <c r="X1" s="98"/>
      <c r="Y1" s="98"/>
      <c r="Z1" s="98"/>
      <c r="AA1" s="98"/>
      <c r="AB1" s="98"/>
      <c r="AC1" s="99"/>
      <c r="AD1" s="86" t="s">
        <v>11</v>
      </c>
      <c r="AE1" s="98"/>
      <c r="AF1" s="98"/>
      <c r="AG1" s="98"/>
      <c r="AH1" s="98"/>
      <c r="AI1" s="98"/>
      <c r="AJ1" s="98"/>
      <c r="AK1" s="99"/>
      <c r="AL1" s="95" t="s">
        <v>12</v>
      </c>
      <c r="AM1" s="100"/>
      <c r="AN1" s="101"/>
      <c r="AO1" s="96" t="s">
        <v>13</v>
      </c>
      <c r="AP1" s="79" t="s">
        <v>14</v>
      </c>
      <c r="AQ1" s="79" t="s">
        <v>15</v>
      </c>
      <c r="AR1" s="88" t="s">
        <v>16</v>
      </c>
      <c r="AS1" s="87" t="s">
        <v>17</v>
      </c>
      <c r="AT1" s="87" t="s">
        <v>18</v>
      </c>
      <c r="AU1" s="78" t="s">
        <v>19</v>
      </c>
      <c r="AV1" s="79" t="s">
        <v>20</v>
      </c>
      <c r="AW1" s="53"/>
    </row>
    <row r="2" spans="1:49" s="54" customFormat="1" ht="31.5" customHeight="1">
      <c r="A2" s="102"/>
      <c r="B2" s="92"/>
      <c r="C2" s="87" t="s">
        <v>21</v>
      </c>
      <c r="D2" s="87"/>
      <c r="E2" s="87" t="s">
        <v>22</v>
      </c>
      <c r="F2" s="87"/>
      <c r="G2" s="102"/>
      <c r="H2" s="102"/>
      <c r="I2" s="103"/>
      <c r="J2" s="90" t="s">
        <v>23</v>
      </c>
      <c r="K2" s="90" t="s">
        <v>24</v>
      </c>
      <c r="L2" s="104"/>
      <c r="M2" s="80" t="s">
        <v>25</v>
      </c>
      <c r="N2" s="80" t="s">
        <v>26</v>
      </c>
      <c r="O2" s="97"/>
      <c r="P2" s="80" t="s">
        <v>27</v>
      </c>
      <c r="Q2" s="80" t="s">
        <v>28</v>
      </c>
      <c r="R2" s="105"/>
      <c r="S2" s="105"/>
      <c r="T2" s="105"/>
      <c r="U2" s="106"/>
      <c r="V2" s="82" t="s">
        <v>29</v>
      </c>
      <c r="W2" s="107"/>
      <c r="X2" s="107"/>
      <c r="Y2" s="108"/>
      <c r="Z2" s="83" t="s">
        <v>30</v>
      </c>
      <c r="AA2" s="107"/>
      <c r="AB2" s="107"/>
      <c r="AC2" s="108"/>
      <c r="AD2" s="84" t="s">
        <v>29</v>
      </c>
      <c r="AE2" s="107"/>
      <c r="AF2" s="107"/>
      <c r="AG2" s="108"/>
      <c r="AH2" s="84" t="s">
        <v>31</v>
      </c>
      <c r="AI2" s="107"/>
      <c r="AJ2" s="109"/>
      <c r="AK2" s="94" t="s">
        <v>32</v>
      </c>
      <c r="AL2" s="110"/>
      <c r="AM2" s="111"/>
      <c r="AN2" s="112"/>
      <c r="AO2" s="113"/>
      <c r="AP2" s="102"/>
      <c r="AQ2" s="102"/>
      <c r="AR2" s="103"/>
      <c r="AS2" s="114"/>
      <c r="AT2" s="114"/>
      <c r="AU2" s="115"/>
      <c r="AV2" s="102"/>
      <c r="AW2" s="53"/>
    </row>
    <row r="3" spans="1:49" s="54" customFormat="1" ht="38.25" customHeight="1">
      <c r="A3" s="116"/>
      <c r="B3" s="93"/>
      <c r="C3" s="73" t="s">
        <v>33</v>
      </c>
      <c r="D3" s="74" t="s">
        <v>34</v>
      </c>
      <c r="E3" s="74" t="s">
        <v>33</v>
      </c>
      <c r="F3" s="74" t="s">
        <v>34</v>
      </c>
      <c r="G3" s="116"/>
      <c r="H3" s="116"/>
      <c r="I3" s="117"/>
      <c r="J3" s="91"/>
      <c r="K3" s="91"/>
      <c r="L3" s="104"/>
      <c r="M3" s="118"/>
      <c r="N3" s="55" t="s">
        <v>35</v>
      </c>
      <c r="O3" s="55" t="s">
        <v>36</v>
      </c>
      <c r="P3" s="118"/>
      <c r="Q3" s="118"/>
      <c r="R3" s="56" t="s">
        <v>37</v>
      </c>
      <c r="S3" s="57" t="s">
        <v>38</v>
      </c>
      <c r="T3" s="57" t="s">
        <v>39</v>
      </c>
      <c r="U3" s="58" t="s">
        <v>40</v>
      </c>
      <c r="V3" s="59" t="s">
        <v>41</v>
      </c>
      <c r="W3" s="60" t="s">
        <v>42</v>
      </c>
      <c r="X3" s="60" t="s">
        <v>43</v>
      </c>
      <c r="Y3" s="61" t="s">
        <v>44</v>
      </c>
      <c r="Z3" s="62" t="s">
        <v>25</v>
      </c>
      <c r="AA3" s="60" t="s">
        <v>45</v>
      </c>
      <c r="AB3" s="63" t="s">
        <v>46</v>
      </c>
      <c r="AC3" s="64" t="s">
        <v>28</v>
      </c>
      <c r="AD3" s="65" t="s">
        <v>41</v>
      </c>
      <c r="AE3" s="66" t="s">
        <v>42</v>
      </c>
      <c r="AF3" s="66" t="s">
        <v>43</v>
      </c>
      <c r="AG3" s="67" t="s">
        <v>44</v>
      </c>
      <c r="AH3" s="65" t="s">
        <v>25</v>
      </c>
      <c r="AI3" s="66" t="s">
        <v>45</v>
      </c>
      <c r="AJ3" s="66" t="s">
        <v>46</v>
      </c>
      <c r="AK3" s="119"/>
      <c r="AL3" s="68" t="s">
        <v>25</v>
      </c>
      <c r="AM3" s="69" t="s">
        <v>46</v>
      </c>
      <c r="AN3" s="70" t="s">
        <v>45</v>
      </c>
      <c r="AO3" s="120"/>
      <c r="AP3" s="116"/>
      <c r="AQ3" s="116"/>
      <c r="AR3" s="117"/>
      <c r="AS3" s="114"/>
      <c r="AT3" s="114"/>
      <c r="AU3" s="121"/>
      <c r="AV3" s="116"/>
      <c r="AW3" s="53"/>
    </row>
    <row r="4" spans="1:49" ht="162" customHeight="1">
      <c r="A4" s="1" t="s">
        <v>47</v>
      </c>
      <c r="B4" s="52" t="s">
        <v>48</v>
      </c>
      <c r="C4" s="72"/>
      <c r="D4" s="72"/>
      <c r="E4" s="72"/>
      <c r="F4" s="72"/>
      <c r="G4" s="11" t="s">
        <v>49</v>
      </c>
      <c r="H4" s="1" t="s">
        <v>50</v>
      </c>
      <c r="I4" s="23" t="s">
        <v>51</v>
      </c>
      <c r="J4" s="28" t="s">
        <v>52</v>
      </c>
      <c r="K4" s="32"/>
      <c r="L4" s="36" t="s">
        <v>53</v>
      </c>
      <c r="M4" s="37" t="s">
        <v>52</v>
      </c>
      <c r="N4" s="38"/>
      <c r="O4" s="38"/>
      <c r="P4" s="38"/>
      <c r="Q4" s="40"/>
      <c r="R4" s="42" t="s">
        <v>52</v>
      </c>
      <c r="S4" s="43"/>
      <c r="T4" s="43"/>
      <c r="U4" s="44"/>
      <c r="V4" s="36" t="s">
        <v>52</v>
      </c>
      <c r="W4" s="37"/>
      <c r="X4" s="37"/>
      <c r="Y4" s="40"/>
      <c r="Z4" s="36" t="s">
        <v>52</v>
      </c>
      <c r="AA4" s="37"/>
      <c r="AB4" s="37"/>
      <c r="AC4" s="40"/>
      <c r="AD4" s="36" t="s">
        <v>52</v>
      </c>
      <c r="AE4" s="37"/>
      <c r="AF4" s="37"/>
      <c r="AG4" s="40"/>
      <c r="AH4" s="36">
        <v>1</v>
      </c>
      <c r="AI4" s="38"/>
      <c r="AJ4" s="38"/>
      <c r="AK4" s="39">
        <f t="shared" ref="AK4:AK9" si="0">SUM(AH4:AJ4)</f>
        <v>1</v>
      </c>
      <c r="AL4" s="41" t="s">
        <v>52</v>
      </c>
      <c r="AM4" s="24"/>
      <c r="AN4" s="6"/>
      <c r="AO4" s="7" t="s">
        <v>54</v>
      </c>
      <c r="AP4" s="26" t="s">
        <v>55</v>
      </c>
      <c r="AQ4" s="8" t="s">
        <v>56</v>
      </c>
      <c r="AR4" s="8"/>
      <c r="AS4" s="71" t="s">
        <v>57</v>
      </c>
      <c r="AT4" s="71" t="s">
        <v>57</v>
      </c>
      <c r="AU4" s="75" t="s">
        <v>58</v>
      </c>
      <c r="AV4" s="51" t="s">
        <v>59</v>
      </c>
      <c r="AW4" s="10"/>
    </row>
    <row r="5" spans="1:49" ht="141.75" customHeight="1">
      <c r="A5" s="1" t="s">
        <v>47</v>
      </c>
      <c r="B5" s="52" t="s">
        <v>48</v>
      </c>
      <c r="C5" s="72"/>
      <c r="D5" s="72"/>
      <c r="E5" s="72"/>
      <c r="F5" s="72"/>
      <c r="G5" s="11" t="s">
        <v>60</v>
      </c>
      <c r="H5" s="1" t="s">
        <v>61</v>
      </c>
      <c r="I5" s="23" t="s">
        <v>51</v>
      </c>
      <c r="J5" s="29" t="s">
        <v>52</v>
      </c>
      <c r="K5" s="33"/>
      <c r="L5" s="3" t="s">
        <v>62</v>
      </c>
      <c r="M5" s="2" t="s">
        <v>52</v>
      </c>
      <c r="N5" s="4"/>
      <c r="O5" s="4"/>
      <c r="P5" s="4"/>
      <c r="Q5" s="23" t="s">
        <v>52</v>
      </c>
      <c r="R5" s="45" t="s">
        <v>52</v>
      </c>
      <c r="S5" s="46"/>
      <c r="T5" s="46"/>
      <c r="U5" s="47"/>
      <c r="V5" s="3" t="s">
        <v>52</v>
      </c>
      <c r="W5" s="2"/>
      <c r="X5" s="2"/>
      <c r="Y5" s="23"/>
      <c r="Z5" s="3" t="s">
        <v>52</v>
      </c>
      <c r="AA5" s="2"/>
      <c r="AB5" s="2"/>
      <c r="AC5" s="23" t="s">
        <v>52</v>
      </c>
      <c r="AD5" s="3" t="s">
        <v>52</v>
      </c>
      <c r="AE5" s="2"/>
      <c r="AF5" s="2"/>
      <c r="AG5" s="23"/>
      <c r="AH5" s="3">
        <v>1</v>
      </c>
      <c r="AI5" s="4"/>
      <c r="AJ5" s="4"/>
      <c r="AK5" s="5">
        <f t="shared" si="0"/>
        <v>1</v>
      </c>
      <c r="AL5" s="11" t="s">
        <v>52</v>
      </c>
      <c r="AM5" s="2"/>
      <c r="AN5" s="5"/>
      <c r="AO5" s="7" t="s">
        <v>63</v>
      </c>
      <c r="AP5" s="1" t="s">
        <v>64</v>
      </c>
      <c r="AQ5" s="8" t="s">
        <v>56</v>
      </c>
      <c r="AR5" s="8"/>
      <c r="AS5" s="9" t="s">
        <v>57</v>
      </c>
      <c r="AT5" s="9" t="s">
        <v>57</v>
      </c>
      <c r="AU5" s="75" t="s">
        <v>65</v>
      </c>
      <c r="AV5" s="51" t="s">
        <v>59</v>
      </c>
      <c r="AW5" s="10"/>
    </row>
    <row r="6" spans="1:49" ht="135" customHeight="1">
      <c r="A6" s="1" t="s">
        <v>47</v>
      </c>
      <c r="B6" s="52" t="s">
        <v>48</v>
      </c>
      <c r="C6" s="72"/>
      <c r="D6" s="72"/>
      <c r="E6" s="72"/>
      <c r="F6" s="72"/>
      <c r="G6" s="11" t="s">
        <v>66</v>
      </c>
      <c r="H6" s="1" t="s">
        <v>67</v>
      </c>
      <c r="I6" s="23" t="s">
        <v>51</v>
      </c>
      <c r="J6" s="29" t="s">
        <v>52</v>
      </c>
      <c r="K6" s="33"/>
      <c r="L6" s="3" t="s">
        <v>42</v>
      </c>
      <c r="M6" s="2" t="s">
        <v>52</v>
      </c>
      <c r="N6" s="2" t="s">
        <v>52</v>
      </c>
      <c r="O6" s="4"/>
      <c r="P6" s="4"/>
      <c r="Q6" s="23" t="s">
        <v>52</v>
      </c>
      <c r="R6" s="45" t="s">
        <v>52</v>
      </c>
      <c r="S6" s="46"/>
      <c r="T6" s="46"/>
      <c r="U6" s="47"/>
      <c r="V6" s="3"/>
      <c r="W6" s="2" t="s">
        <v>52</v>
      </c>
      <c r="X6" s="2"/>
      <c r="Y6" s="23"/>
      <c r="Z6" s="3" t="s">
        <v>52</v>
      </c>
      <c r="AA6" s="2" t="s">
        <v>52</v>
      </c>
      <c r="AB6" s="2"/>
      <c r="AC6" s="23" t="s">
        <v>52</v>
      </c>
      <c r="AD6" s="3"/>
      <c r="AE6" s="2" t="s">
        <v>52</v>
      </c>
      <c r="AF6" s="2"/>
      <c r="AG6" s="23"/>
      <c r="AH6" s="3">
        <v>1</v>
      </c>
      <c r="AI6" s="2">
        <v>1</v>
      </c>
      <c r="AJ6" s="4"/>
      <c r="AK6" s="5">
        <f t="shared" si="0"/>
        <v>2</v>
      </c>
      <c r="AL6" s="11" t="s">
        <v>52</v>
      </c>
      <c r="AM6" s="2"/>
      <c r="AN6" s="5" t="s">
        <v>52</v>
      </c>
      <c r="AO6" s="48" t="s">
        <v>68</v>
      </c>
      <c r="AP6" s="1" t="s">
        <v>69</v>
      </c>
      <c r="AQ6" s="8" t="s">
        <v>56</v>
      </c>
      <c r="AR6" s="8"/>
      <c r="AS6" s="9" t="s">
        <v>57</v>
      </c>
      <c r="AT6" s="9" t="s">
        <v>57</v>
      </c>
      <c r="AU6" s="75" t="s">
        <v>70</v>
      </c>
      <c r="AV6" s="51" t="s">
        <v>59</v>
      </c>
      <c r="AW6" s="10"/>
    </row>
    <row r="7" spans="1:49" ht="129" customHeight="1">
      <c r="A7" s="1" t="s">
        <v>47</v>
      </c>
      <c r="B7" s="52" t="s">
        <v>48</v>
      </c>
      <c r="C7" s="72"/>
      <c r="D7" s="72"/>
      <c r="E7" s="72"/>
      <c r="F7" s="72"/>
      <c r="G7" s="11" t="s">
        <v>71</v>
      </c>
      <c r="H7" s="1" t="s">
        <v>72</v>
      </c>
      <c r="I7" s="23" t="s">
        <v>51</v>
      </c>
      <c r="J7" s="29" t="s">
        <v>52</v>
      </c>
      <c r="K7" s="33"/>
      <c r="L7" s="3" t="s">
        <v>73</v>
      </c>
      <c r="M7" s="2" t="s">
        <v>52</v>
      </c>
      <c r="N7" s="4"/>
      <c r="O7" s="4"/>
      <c r="P7" s="2" t="s">
        <v>52</v>
      </c>
      <c r="Q7" s="23" t="s">
        <v>52</v>
      </c>
      <c r="R7" s="45"/>
      <c r="S7" s="46"/>
      <c r="T7" s="46"/>
      <c r="U7" s="47" t="s">
        <v>52</v>
      </c>
      <c r="V7" s="3"/>
      <c r="W7" s="2"/>
      <c r="X7" s="2" t="s">
        <v>52</v>
      </c>
      <c r="Y7" s="23"/>
      <c r="Z7" s="3" t="s">
        <v>52</v>
      </c>
      <c r="AA7" s="2"/>
      <c r="AB7" s="2" t="s">
        <v>52</v>
      </c>
      <c r="AC7" s="23" t="s">
        <v>52</v>
      </c>
      <c r="AD7" s="3"/>
      <c r="AE7" s="2"/>
      <c r="AF7" s="2" t="s">
        <v>52</v>
      </c>
      <c r="AG7" s="23"/>
      <c r="AH7" s="3">
        <v>1</v>
      </c>
      <c r="AI7" s="4"/>
      <c r="AJ7" s="2">
        <v>1</v>
      </c>
      <c r="AK7" s="5">
        <f t="shared" ref="AK7" si="1">SUM(AH7:AJ7)</f>
        <v>2</v>
      </c>
      <c r="AL7" s="11" t="s">
        <v>52</v>
      </c>
      <c r="AM7" s="2" t="s">
        <v>52</v>
      </c>
      <c r="AN7" s="5"/>
      <c r="AO7" s="7" t="s">
        <v>74</v>
      </c>
      <c r="AP7" s="1" t="s">
        <v>75</v>
      </c>
      <c r="AQ7" s="8" t="s">
        <v>56</v>
      </c>
      <c r="AR7" s="8"/>
      <c r="AS7" s="9" t="s">
        <v>57</v>
      </c>
      <c r="AT7" s="9" t="s">
        <v>57</v>
      </c>
      <c r="AU7" s="77" t="s">
        <v>76</v>
      </c>
      <c r="AV7" s="51" t="s">
        <v>59</v>
      </c>
      <c r="AW7" s="10"/>
    </row>
    <row r="8" spans="1:49" ht="141.75" customHeight="1">
      <c r="A8" s="1" t="s">
        <v>47</v>
      </c>
      <c r="B8" s="52" t="s">
        <v>48</v>
      </c>
      <c r="C8" s="72"/>
      <c r="D8" s="72"/>
      <c r="E8" s="72"/>
      <c r="F8" s="72"/>
      <c r="G8" s="11" t="s">
        <v>77</v>
      </c>
      <c r="H8" s="1" t="s">
        <v>72</v>
      </c>
      <c r="I8" s="23" t="s">
        <v>51</v>
      </c>
      <c r="J8" s="29" t="s">
        <v>52</v>
      </c>
      <c r="K8" s="33"/>
      <c r="L8" s="3" t="s">
        <v>43</v>
      </c>
      <c r="M8" s="2" t="s">
        <v>52</v>
      </c>
      <c r="N8" s="4"/>
      <c r="O8" s="4"/>
      <c r="P8" s="2" t="s">
        <v>52</v>
      </c>
      <c r="Q8" s="23" t="s">
        <v>52</v>
      </c>
      <c r="R8" s="45" t="s">
        <v>52</v>
      </c>
      <c r="S8" s="46"/>
      <c r="T8" s="46"/>
      <c r="U8" s="47"/>
      <c r="V8" s="3"/>
      <c r="W8" s="2"/>
      <c r="X8" s="2" t="s">
        <v>52</v>
      </c>
      <c r="Y8" s="23"/>
      <c r="Z8" s="3" t="s">
        <v>52</v>
      </c>
      <c r="AA8" s="2"/>
      <c r="AB8" s="2" t="s">
        <v>52</v>
      </c>
      <c r="AC8" s="23" t="s">
        <v>52</v>
      </c>
      <c r="AD8" s="3"/>
      <c r="AE8" s="2"/>
      <c r="AF8" s="2" t="s">
        <v>52</v>
      </c>
      <c r="AG8" s="23"/>
      <c r="AH8" s="3">
        <v>1</v>
      </c>
      <c r="AI8" s="4"/>
      <c r="AJ8" s="2">
        <v>1</v>
      </c>
      <c r="AK8" s="5">
        <f t="shared" si="0"/>
        <v>2</v>
      </c>
      <c r="AL8" s="11" t="s">
        <v>52</v>
      </c>
      <c r="AM8" s="2" t="s">
        <v>52</v>
      </c>
      <c r="AN8" s="5"/>
      <c r="AO8" s="7" t="s">
        <v>78</v>
      </c>
      <c r="AP8" s="1" t="s">
        <v>75</v>
      </c>
      <c r="AQ8" s="8" t="s">
        <v>56</v>
      </c>
      <c r="AR8" s="8"/>
      <c r="AS8" s="9" t="s">
        <v>57</v>
      </c>
      <c r="AT8" s="9" t="s">
        <v>57</v>
      </c>
      <c r="AU8" s="75" t="s">
        <v>79</v>
      </c>
      <c r="AV8" s="51" t="s">
        <v>59</v>
      </c>
      <c r="AW8" s="10"/>
    </row>
    <row r="9" spans="1:49" ht="144.75" customHeight="1">
      <c r="A9" s="1" t="s">
        <v>47</v>
      </c>
      <c r="B9" s="52" t="s">
        <v>48</v>
      </c>
      <c r="C9" s="72"/>
      <c r="D9" s="72"/>
      <c r="E9" s="72"/>
      <c r="F9" s="72"/>
      <c r="G9" s="11" t="s">
        <v>80</v>
      </c>
      <c r="H9" s="1" t="s">
        <v>81</v>
      </c>
      <c r="I9" s="23" t="s">
        <v>51</v>
      </c>
      <c r="J9" s="29" t="s">
        <v>52</v>
      </c>
      <c r="K9" s="33"/>
      <c r="L9" s="3" t="s">
        <v>82</v>
      </c>
      <c r="M9" s="2" t="s">
        <v>52</v>
      </c>
      <c r="N9" s="4"/>
      <c r="O9" s="2" t="s">
        <v>52</v>
      </c>
      <c r="P9" s="2" t="s">
        <v>52</v>
      </c>
      <c r="Q9" s="12"/>
      <c r="R9" s="45" t="s">
        <v>52</v>
      </c>
      <c r="S9" s="46"/>
      <c r="T9" s="46"/>
      <c r="U9" s="47"/>
      <c r="V9" s="3"/>
      <c r="W9" s="2"/>
      <c r="X9" s="2"/>
      <c r="Y9" s="23" t="s">
        <v>52</v>
      </c>
      <c r="Z9" s="3" t="s">
        <v>52</v>
      </c>
      <c r="AA9" s="2" t="s">
        <v>52</v>
      </c>
      <c r="AB9" s="2" t="s">
        <v>52</v>
      </c>
      <c r="AC9" s="23"/>
      <c r="AD9" s="3"/>
      <c r="AE9" s="2"/>
      <c r="AF9" s="2"/>
      <c r="AG9" s="23" t="s">
        <v>52</v>
      </c>
      <c r="AH9" s="3">
        <v>1</v>
      </c>
      <c r="AI9" s="2">
        <v>1</v>
      </c>
      <c r="AJ9" s="2">
        <v>1</v>
      </c>
      <c r="AK9" s="5">
        <f t="shared" si="0"/>
        <v>3</v>
      </c>
      <c r="AL9" s="11" t="s">
        <v>52</v>
      </c>
      <c r="AM9" s="2" t="s">
        <v>52</v>
      </c>
      <c r="AN9" s="5" t="s">
        <v>52</v>
      </c>
      <c r="AO9" s="7" t="s">
        <v>83</v>
      </c>
      <c r="AP9" s="1" t="s">
        <v>84</v>
      </c>
      <c r="AQ9" s="8" t="s">
        <v>56</v>
      </c>
      <c r="AR9" s="8"/>
      <c r="AS9" s="9" t="s">
        <v>57</v>
      </c>
      <c r="AT9" s="9" t="s">
        <v>57</v>
      </c>
      <c r="AU9" s="75" t="s">
        <v>85</v>
      </c>
      <c r="AV9" s="51" t="s">
        <v>59</v>
      </c>
      <c r="AW9" s="10"/>
    </row>
    <row r="10" spans="1:49" ht="110.25" customHeight="1">
      <c r="A10" s="1" t="s">
        <v>47</v>
      </c>
      <c r="B10" s="52" t="s">
        <v>48</v>
      </c>
      <c r="C10" s="72"/>
      <c r="D10" s="72"/>
      <c r="E10" s="72"/>
      <c r="F10" s="72"/>
      <c r="G10" s="11" t="s">
        <v>86</v>
      </c>
      <c r="H10" s="1" t="s">
        <v>87</v>
      </c>
      <c r="I10" s="23" t="s">
        <v>51</v>
      </c>
      <c r="J10" s="29" t="s">
        <v>52</v>
      </c>
      <c r="K10" s="33"/>
      <c r="L10" s="3" t="s">
        <v>44</v>
      </c>
      <c r="M10" s="2" t="s">
        <v>52</v>
      </c>
      <c r="N10" s="4"/>
      <c r="O10" s="2" t="s">
        <v>52</v>
      </c>
      <c r="P10" s="2" t="s">
        <v>52</v>
      </c>
      <c r="Q10" s="12"/>
      <c r="R10" s="45"/>
      <c r="S10" s="46"/>
      <c r="T10" s="46"/>
      <c r="U10" s="47" t="s">
        <v>52</v>
      </c>
      <c r="V10" s="3"/>
      <c r="W10" s="2"/>
      <c r="X10" s="2"/>
      <c r="Y10" s="23" t="s">
        <v>52</v>
      </c>
      <c r="Z10" s="3" t="s">
        <v>52</v>
      </c>
      <c r="AA10" s="2" t="s">
        <v>52</v>
      </c>
      <c r="AB10" s="2" t="s">
        <v>52</v>
      </c>
      <c r="AC10" s="23" t="s">
        <v>52</v>
      </c>
      <c r="AD10" s="3"/>
      <c r="AE10" s="2"/>
      <c r="AF10" s="2"/>
      <c r="AG10" s="23" t="s">
        <v>52</v>
      </c>
      <c r="AH10" s="3">
        <v>1</v>
      </c>
      <c r="AI10" s="2">
        <v>1</v>
      </c>
      <c r="AJ10" s="2">
        <v>1</v>
      </c>
      <c r="AK10" s="5">
        <v>3</v>
      </c>
      <c r="AL10" s="15" t="s">
        <v>52</v>
      </c>
      <c r="AM10" s="13" t="s">
        <v>52</v>
      </c>
      <c r="AN10" s="14" t="s">
        <v>52</v>
      </c>
      <c r="AO10" s="16" t="s">
        <v>88</v>
      </c>
      <c r="AP10" s="1" t="s">
        <v>89</v>
      </c>
      <c r="AQ10" s="8" t="s">
        <v>56</v>
      </c>
      <c r="AR10" s="8"/>
      <c r="AS10" s="76" t="s">
        <v>90</v>
      </c>
      <c r="AT10" s="76" t="s">
        <v>90</v>
      </c>
      <c r="AU10" s="51" t="s">
        <v>91</v>
      </c>
      <c r="AV10" s="51" t="s">
        <v>59</v>
      </c>
      <c r="AW10" s="10"/>
    </row>
    <row r="11" spans="1:49" ht="140.25" customHeight="1">
      <c r="A11" s="1" t="s">
        <v>47</v>
      </c>
      <c r="B11" s="52" t="s">
        <v>48</v>
      </c>
      <c r="C11" s="72"/>
      <c r="D11" s="72"/>
      <c r="E11" s="72"/>
      <c r="F11" s="72"/>
      <c r="G11" s="11" t="s">
        <v>92</v>
      </c>
      <c r="H11" s="1" t="s">
        <v>93</v>
      </c>
      <c r="I11" s="23" t="s">
        <v>51</v>
      </c>
      <c r="J11" s="30"/>
      <c r="K11" s="34" t="s">
        <v>52</v>
      </c>
      <c r="L11" s="3" t="s">
        <v>94</v>
      </c>
      <c r="M11" s="2" t="s">
        <v>52</v>
      </c>
      <c r="N11" s="4"/>
      <c r="O11" s="4"/>
      <c r="P11" s="4"/>
      <c r="Q11" s="23" t="s">
        <v>52</v>
      </c>
      <c r="R11" s="45" t="s">
        <v>52</v>
      </c>
      <c r="S11" s="46"/>
      <c r="T11" s="46"/>
      <c r="U11" s="47"/>
      <c r="V11" s="3" t="s">
        <v>52</v>
      </c>
      <c r="W11" s="2"/>
      <c r="X11" s="2"/>
      <c r="Y11" s="23"/>
      <c r="Z11" s="3" t="s">
        <v>52</v>
      </c>
      <c r="AA11" s="2"/>
      <c r="AB11" s="2"/>
      <c r="AC11" s="23" t="s">
        <v>52</v>
      </c>
      <c r="AD11" s="3" t="s">
        <v>52</v>
      </c>
      <c r="AE11" s="2"/>
      <c r="AF11" s="2"/>
      <c r="AG11" s="23"/>
      <c r="AH11" s="3">
        <v>1</v>
      </c>
      <c r="AI11" s="4"/>
      <c r="AJ11" s="4"/>
      <c r="AK11" s="5">
        <f t="shared" ref="AK11" si="2">SUM(AH11:AJ11)</f>
        <v>1</v>
      </c>
      <c r="AL11" s="11" t="s">
        <v>52</v>
      </c>
      <c r="AM11" s="2"/>
      <c r="AN11" s="5"/>
      <c r="AO11" s="7" t="s">
        <v>95</v>
      </c>
      <c r="AP11" s="1" t="s">
        <v>64</v>
      </c>
      <c r="AQ11" s="8" t="s">
        <v>56</v>
      </c>
      <c r="AR11" s="8"/>
      <c r="AS11" s="9" t="s">
        <v>57</v>
      </c>
      <c r="AT11" s="9" t="s">
        <v>57</v>
      </c>
      <c r="AU11" s="75" t="s">
        <v>96</v>
      </c>
      <c r="AV11" s="51" t="s">
        <v>59</v>
      </c>
      <c r="AW11" s="10"/>
    </row>
    <row r="12" spans="1:49" ht="142.5" customHeight="1">
      <c r="A12" s="1" t="s">
        <v>47</v>
      </c>
      <c r="B12" s="52" t="s">
        <v>48</v>
      </c>
      <c r="C12" s="72"/>
      <c r="D12" s="72"/>
      <c r="E12" s="72"/>
      <c r="F12" s="72"/>
      <c r="G12" s="11" t="s">
        <v>97</v>
      </c>
      <c r="H12" s="1" t="s">
        <v>87</v>
      </c>
      <c r="I12" s="23" t="s">
        <v>51</v>
      </c>
      <c r="J12" s="31"/>
      <c r="K12" s="35" t="s">
        <v>52</v>
      </c>
      <c r="L12" s="3" t="s">
        <v>98</v>
      </c>
      <c r="M12" s="2" t="s">
        <v>52</v>
      </c>
      <c r="N12" s="4"/>
      <c r="O12" s="4"/>
      <c r="P12" s="4"/>
      <c r="Q12" s="23" t="s">
        <v>52</v>
      </c>
      <c r="R12" s="45" t="s">
        <v>52</v>
      </c>
      <c r="S12" s="46"/>
      <c r="T12" s="46"/>
      <c r="U12" s="47"/>
      <c r="V12" s="3" t="s">
        <v>52</v>
      </c>
      <c r="W12" s="2"/>
      <c r="X12" s="2"/>
      <c r="Y12" s="23"/>
      <c r="Z12" s="3" t="s">
        <v>52</v>
      </c>
      <c r="AA12" s="2"/>
      <c r="AB12" s="2"/>
      <c r="AC12" s="23" t="s">
        <v>52</v>
      </c>
      <c r="AD12" s="3" t="s">
        <v>52</v>
      </c>
      <c r="AE12" s="2"/>
      <c r="AF12" s="2"/>
      <c r="AG12" s="23"/>
      <c r="AH12" s="3">
        <v>1</v>
      </c>
      <c r="AI12" s="4"/>
      <c r="AJ12" s="4"/>
      <c r="AK12" s="5">
        <f t="shared" ref="AK12" si="3">SUM(AH12:AJ12)</f>
        <v>1</v>
      </c>
      <c r="AL12" s="11" t="s">
        <v>52</v>
      </c>
      <c r="AM12" s="2"/>
      <c r="AN12" s="5"/>
      <c r="AO12" s="16" t="s">
        <v>99</v>
      </c>
      <c r="AP12" s="1" t="s">
        <v>64</v>
      </c>
      <c r="AQ12" s="8" t="s">
        <v>56</v>
      </c>
      <c r="AR12" s="8"/>
      <c r="AS12" s="9" t="s">
        <v>57</v>
      </c>
      <c r="AT12" s="9" t="s">
        <v>57</v>
      </c>
      <c r="AU12" s="75" t="s">
        <v>100</v>
      </c>
      <c r="AV12" s="51" t="s">
        <v>59</v>
      </c>
      <c r="AW12" s="10" t="s">
        <v>101</v>
      </c>
    </row>
    <row r="13" spans="1:49" ht="15.75" customHeight="1">
      <c r="C13" s="27"/>
      <c r="D13" s="27"/>
      <c r="E13" s="27"/>
      <c r="F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49" ht="15.75" customHeight="1">
      <c r="AQ14" s="17" t="s">
        <v>102</v>
      </c>
      <c r="AR14" s="18"/>
      <c r="AS14" s="18"/>
    </row>
    <row r="15" spans="1:49" ht="15.75" customHeight="1">
      <c r="AQ15" s="19"/>
      <c r="AR15" s="20"/>
      <c r="AS15" s="20"/>
    </row>
    <row r="16" spans="1:49" ht="15.75" customHeight="1">
      <c r="AQ16" s="19"/>
      <c r="AR16" s="21" t="s">
        <v>21</v>
      </c>
      <c r="AS16" s="21" t="s">
        <v>22</v>
      </c>
    </row>
    <row r="17" spans="43:45" ht="15.75" customHeight="1">
      <c r="AQ17" s="22" t="s">
        <v>57</v>
      </c>
      <c r="AR17" s="49">
        <f>COUNTIF(AS4:AS12,"Not Start")</f>
        <v>8</v>
      </c>
      <c r="AS17" s="49">
        <f>COUNTIF(AT4:AT12,"Not Start")</f>
        <v>8</v>
      </c>
    </row>
    <row r="18" spans="43:45" ht="15.75" customHeight="1">
      <c r="AQ18" s="22" t="s">
        <v>103</v>
      </c>
      <c r="AR18" s="49">
        <f>COUNTIF(AS4:AS12,"Inprogress")</f>
        <v>0</v>
      </c>
      <c r="AS18" s="49">
        <f>COUNTIF(AT4:AT12,"Inprogress")</f>
        <v>0</v>
      </c>
    </row>
    <row r="19" spans="43:45" ht="15.75" customHeight="1">
      <c r="AQ19" s="22" t="s">
        <v>90</v>
      </c>
      <c r="AR19" s="49">
        <f>COUNTIF(AS4:AS12,"Skip")</f>
        <v>1</v>
      </c>
      <c r="AS19" s="49">
        <f>COUNTIF(AT4:AT12,"Skip")</f>
        <v>1</v>
      </c>
    </row>
    <row r="20" spans="43:45" ht="15.75" customHeight="1">
      <c r="AQ20" s="22" t="s">
        <v>104</v>
      </c>
      <c r="AR20" s="49">
        <f>COUNTIF(AS4:AS12,"Failed")</f>
        <v>0</v>
      </c>
      <c r="AS20" s="49">
        <f>COUNTIF(AT4:AT12,"Failed")</f>
        <v>0</v>
      </c>
    </row>
    <row r="21" spans="43:45" ht="15.75" customHeight="1">
      <c r="AQ21" s="22" t="s">
        <v>105</v>
      </c>
      <c r="AR21" s="50">
        <f>COUNTIF(AS4:AS12,"Passed")</f>
        <v>0</v>
      </c>
      <c r="AS21" s="50">
        <f>COUNTIF(AT4:AT12,"Passed")</f>
        <v>0</v>
      </c>
    </row>
    <row r="22" spans="43:45" ht="15.75" customHeight="1">
      <c r="AQ22" s="19"/>
      <c r="AR22" s="19"/>
      <c r="AS22" s="19"/>
    </row>
    <row r="23" spans="43:45" ht="15.75" customHeight="1">
      <c r="AQ23" s="19"/>
      <c r="AR23" s="21" t="s">
        <v>21</v>
      </c>
      <c r="AS23" s="21" t="s">
        <v>22</v>
      </c>
    </row>
    <row r="24" spans="43:45" ht="15.75" customHeight="1">
      <c r="AQ24" s="22" t="s">
        <v>106</v>
      </c>
      <c r="AR24" s="25">
        <f t="shared" ref="AR24:AS24" si="4">AR21/(AR21+AR17+AR18+AR20)</f>
        <v>0</v>
      </c>
      <c r="AS24" s="25">
        <f t="shared" si="4"/>
        <v>0</v>
      </c>
    </row>
    <row r="25" spans="43:45" ht="15.75" customHeight="1"/>
    <row r="26" spans="43:45" ht="15.75" customHeight="1"/>
    <row r="27" spans="43:45" ht="15.75" customHeight="1"/>
    <row r="28" spans="43:45" ht="15.75" customHeight="1"/>
    <row r="29" spans="43:45" ht="15.75" customHeight="1"/>
    <row r="30" spans="43:45" ht="15.75" customHeight="1"/>
    <row r="31" spans="43:45" ht="15.75" customHeight="1"/>
    <row r="32" spans="43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4">
    <mergeCell ref="AR1:AR3"/>
    <mergeCell ref="AK2:AK3"/>
    <mergeCell ref="AL1:AN2"/>
    <mergeCell ref="AO1:AO3"/>
    <mergeCell ref="AP1:AP3"/>
    <mergeCell ref="AQ1:AQ3"/>
    <mergeCell ref="L1:L3"/>
    <mergeCell ref="J1:K1"/>
    <mergeCell ref="J2:J3"/>
    <mergeCell ref="K2:K3"/>
    <mergeCell ref="B1:B3"/>
    <mergeCell ref="C2:D2"/>
    <mergeCell ref="A1:A3"/>
    <mergeCell ref="G1:G3"/>
    <mergeCell ref="H1:H3"/>
    <mergeCell ref="I1:I3"/>
    <mergeCell ref="E2:F2"/>
    <mergeCell ref="C1:F1"/>
    <mergeCell ref="AU1:AU3"/>
    <mergeCell ref="AV1:AV3"/>
    <mergeCell ref="M2:M3"/>
    <mergeCell ref="N2:O2"/>
    <mergeCell ref="P2:P3"/>
    <mergeCell ref="Q2:Q3"/>
    <mergeCell ref="M1:Q1"/>
    <mergeCell ref="R1:U2"/>
    <mergeCell ref="V2:Y2"/>
    <mergeCell ref="Z2:AC2"/>
    <mergeCell ref="AD2:AG2"/>
    <mergeCell ref="AH2:AJ2"/>
    <mergeCell ref="V1:AC1"/>
    <mergeCell ref="AD1:AK1"/>
    <mergeCell ref="AS1:AS3"/>
    <mergeCell ref="AT1:AT3"/>
  </mergeCells>
  <dataValidations count="2">
    <dataValidation type="list" allowBlank="1" showErrorMessage="1" sqref="I4:I12" xr:uid="{00000000-0002-0000-0000-000000000000}">
      <formula1>"Positive,Negative"</formula1>
    </dataValidation>
    <dataValidation type="list" allowBlank="1" showErrorMessage="1" sqref="AS4:AT12" xr:uid="{00000000-0002-0000-0000-000001000000}">
      <formula1>"Not Start,Inprogress,Failed,Passed,Skip"</formula1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238801-fdbf-48e7-ad7a-fa95ffe1e2d8">
      <Terms xmlns="http://schemas.microsoft.com/office/infopath/2007/PartnerControls"/>
    </lcf76f155ced4ddcb4097134ff3c332f>
    <TaxCatchAll xmlns="b8dc7d78-3728-400f-ae92-b0db10cb70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9598AC-7F2C-4BAF-919C-80B6C4043237}"/>
</file>

<file path=customXml/itemProps2.xml><?xml version="1.0" encoding="utf-8"?>
<ds:datastoreItem xmlns:ds="http://schemas.openxmlformats.org/officeDocument/2006/customXml" ds:itemID="{F703195A-782D-4B22-BC05-E0BB6759ADC3}"/>
</file>

<file path=customXml/itemProps3.xml><?xml version="1.0" encoding="utf-8"?>
<ds:datastoreItem xmlns:ds="http://schemas.openxmlformats.org/officeDocument/2006/customXml" ds:itemID="{140BD2B2-E6DC-4042-BF2E-E44EC47B3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Hataichanok Dumjun</cp:lastModifiedBy>
  <cp:revision/>
  <dcterms:created xsi:type="dcterms:W3CDTF">2026-02-03T06:22:39Z</dcterms:created>
  <dcterms:modified xsi:type="dcterms:W3CDTF">2026-06-25T18:56:57Z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  <property fmtid="{D5CDD505-2E9C-101B-9397-08002B2CF9AE}" pid="3" name="Order">
    <vt:r8>309300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Status">
    <vt:lpwstr>In progress</vt:lpwstr>
  </property>
  <property fmtid="{D5CDD505-2E9C-101B-9397-08002B2CF9AE}" pid="13" name="TemplateUrl">
    <vt:lpwstr/>
  </property>
</Properties>
</file>